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Intern\New folder\Final\P&amp;L\"/>
    </mc:Choice>
  </mc:AlternateContent>
  <xr:revisionPtr revIDLastSave="0" documentId="13_ncr:1_{5134137E-0E6A-41E7-AC34-2FCC2D9769B3}" xr6:coauthVersionLast="47" xr6:coauthVersionMax="47" xr10:uidLastSave="{00000000-0000-0000-0000-000000000000}"/>
  <bookViews>
    <workbookView xWindow="10245" yWindow="0" windowWidth="10245" windowHeight="10920" activeTab="1" xr2:uid="{00000000-000D-0000-FFFF-FFFF00000000}"/>
  </bookViews>
  <sheets>
    <sheet name="Assumptions" sheetId="1" r:id="rId1"/>
    <sheet name="Pro Forma P&amp;L" sheetId="2" r:id="rId2"/>
    <sheet name="Dashboard" sheetId="3" r:id="rId3"/>
  </sheets>
  <calcPr calcId="191029"/>
</workbook>
</file>

<file path=xl/calcChain.xml><?xml version="1.0" encoding="utf-8"?>
<calcChain xmlns="http://schemas.openxmlformats.org/spreadsheetml/2006/main">
  <c r="C47" i="3" l="1"/>
  <c r="G3" i="3"/>
  <c r="N13" i="2"/>
  <c r="M7" i="2"/>
  <c r="U28" i="3" s="1"/>
  <c r="L7" i="2"/>
  <c r="U27" i="3" s="1"/>
  <c r="K7" i="2"/>
  <c r="U26" i="3" s="1"/>
  <c r="J7" i="2"/>
  <c r="U25" i="3" s="1"/>
  <c r="I7" i="2"/>
  <c r="U24" i="3" s="1"/>
  <c r="H7" i="2"/>
  <c r="U23" i="3" s="1"/>
  <c r="G7" i="2"/>
  <c r="U22" i="3" s="1"/>
  <c r="F7" i="2"/>
  <c r="U21" i="3" s="1"/>
  <c r="E7" i="2"/>
  <c r="U20" i="3" s="1"/>
  <c r="D7" i="2"/>
  <c r="U19" i="3" s="1"/>
  <c r="C7" i="2"/>
  <c r="U18" i="3" s="1"/>
  <c r="B7" i="2"/>
  <c r="U17" i="3" s="1"/>
  <c r="M5" i="2"/>
  <c r="Q28" i="3" s="1"/>
  <c r="L5" i="2"/>
  <c r="Q27" i="3" s="1"/>
  <c r="K5" i="2"/>
  <c r="Q26" i="3" s="1"/>
  <c r="J5" i="2"/>
  <c r="Q25" i="3" s="1"/>
  <c r="I5" i="2"/>
  <c r="Q24" i="3" s="1"/>
  <c r="H5" i="2"/>
  <c r="Q23" i="3" s="1"/>
  <c r="G5" i="2"/>
  <c r="Q22" i="3" s="1"/>
  <c r="F5" i="2"/>
  <c r="Q21" i="3" s="1"/>
  <c r="E5" i="2"/>
  <c r="Q20" i="3" s="1"/>
  <c r="D5" i="2"/>
  <c r="Q19" i="3" s="1"/>
  <c r="C5" i="2"/>
  <c r="Q18" i="3" s="1"/>
  <c r="B5" i="2"/>
  <c r="Q17" i="3" s="1"/>
  <c r="M4" i="2"/>
  <c r="M6" i="2" s="1"/>
  <c r="M10" i="2" s="1"/>
  <c r="L4" i="2"/>
  <c r="L6" i="2" s="1"/>
  <c r="L10" i="2" s="1"/>
  <c r="K4" i="2"/>
  <c r="K6" i="2" s="1"/>
  <c r="J4" i="2"/>
  <c r="I4" i="2"/>
  <c r="I6" i="2" s="1"/>
  <c r="I10" i="2" s="1"/>
  <c r="H4" i="2"/>
  <c r="H6" i="2" s="1"/>
  <c r="H10" i="2" s="1"/>
  <c r="G4" i="2"/>
  <c r="G6" i="2" s="1"/>
  <c r="F4" i="2"/>
  <c r="E4" i="2"/>
  <c r="E6" i="2" s="1"/>
  <c r="E10" i="2" s="1"/>
  <c r="D4" i="2"/>
  <c r="D6" i="2" s="1"/>
  <c r="D10" i="2" s="1"/>
  <c r="C4" i="2"/>
  <c r="C6" i="2" s="1"/>
  <c r="B4" i="2"/>
  <c r="N7" i="1"/>
  <c r="N6" i="1"/>
  <c r="N5" i="1"/>
  <c r="N4" i="1"/>
  <c r="N4" i="2" l="1"/>
  <c r="C10" i="2"/>
  <c r="G10" i="2"/>
  <c r="G19" i="2" s="1"/>
  <c r="K10" i="2"/>
  <c r="V26" i="3" s="1"/>
  <c r="G17" i="2"/>
  <c r="V18" i="3"/>
  <c r="C19" i="2"/>
  <c r="C18" i="2"/>
  <c r="C12" i="2"/>
  <c r="C17" i="2"/>
  <c r="C11" i="2"/>
  <c r="V24" i="3"/>
  <c r="I17" i="2"/>
  <c r="I11" i="2"/>
  <c r="I19" i="2"/>
  <c r="I18" i="2"/>
  <c r="I12" i="2"/>
  <c r="V19" i="3"/>
  <c r="D18" i="2"/>
  <c r="D12" i="2"/>
  <c r="D17" i="2"/>
  <c r="D11" i="2"/>
  <c r="D14" i="2" s="1"/>
  <c r="D19" i="2"/>
  <c r="V27" i="3"/>
  <c r="L18" i="2"/>
  <c r="L12" i="2"/>
  <c r="L14" i="2" s="1"/>
  <c r="L17" i="2"/>
  <c r="L11" i="2"/>
  <c r="L19" i="2"/>
  <c r="V28" i="3"/>
  <c r="M17" i="2"/>
  <c r="M11" i="2"/>
  <c r="M19" i="2"/>
  <c r="M18" i="2"/>
  <c r="M12" i="2"/>
  <c r="V20" i="3"/>
  <c r="E17" i="2"/>
  <c r="E11" i="2"/>
  <c r="E19" i="2"/>
  <c r="E18" i="2"/>
  <c r="E12" i="2"/>
  <c r="K12" i="2"/>
  <c r="V23" i="3"/>
  <c r="H18" i="2"/>
  <c r="H12" i="2"/>
  <c r="H17" i="2"/>
  <c r="H11" i="2"/>
  <c r="H19" i="2"/>
  <c r="B6" i="2"/>
  <c r="F6" i="2"/>
  <c r="F10" i="2" s="1"/>
  <c r="J6" i="2"/>
  <c r="J10" i="2" s="1"/>
  <c r="K18" i="2" l="1"/>
  <c r="H14" i="2"/>
  <c r="K11" i="2"/>
  <c r="K26" i="2" s="1"/>
  <c r="K19" i="2"/>
  <c r="G18" i="2"/>
  <c r="K17" i="2"/>
  <c r="C14" i="2"/>
  <c r="C47" i="2" s="1"/>
  <c r="V22" i="3"/>
  <c r="M20" i="2"/>
  <c r="I20" i="2"/>
  <c r="G12" i="2"/>
  <c r="G33" i="2" s="1"/>
  <c r="G11" i="2"/>
  <c r="Q8" i="3"/>
  <c r="H46" i="2"/>
  <c r="H56" i="2"/>
  <c r="H49" i="2"/>
  <c r="H45" i="2"/>
  <c r="H48" i="2"/>
  <c r="H58" i="2"/>
  <c r="H47" i="2"/>
  <c r="E33" i="2"/>
  <c r="E34" i="2"/>
  <c r="M33" i="2"/>
  <c r="M34" i="2"/>
  <c r="I33" i="2"/>
  <c r="I34" i="2"/>
  <c r="C58" i="2"/>
  <c r="C49" i="2"/>
  <c r="C34" i="2"/>
  <c r="C33" i="2"/>
  <c r="M21" i="2"/>
  <c r="M22" i="2" s="1"/>
  <c r="D27" i="2"/>
  <c r="D26" i="2"/>
  <c r="D25" i="2"/>
  <c r="C20" i="2"/>
  <c r="G20" i="2"/>
  <c r="K34" i="2"/>
  <c r="K33" i="2"/>
  <c r="E27" i="2"/>
  <c r="E26" i="2"/>
  <c r="E25" i="2"/>
  <c r="M27" i="2"/>
  <c r="M26" i="2"/>
  <c r="M25" i="2"/>
  <c r="I27" i="2"/>
  <c r="I26" i="2"/>
  <c r="I25" i="2"/>
  <c r="V25" i="3"/>
  <c r="J19" i="2"/>
  <c r="J18" i="2"/>
  <c r="J12" i="2"/>
  <c r="J17" i="2"/>
  <c r="J11" i="2"/>
  <c r="H34" i="2"/>
  <c r="H33" i="2"/>
  <c r="K25" i="2"/>
  <c r="K27" i="2"/>
  <c r="E20" i="2"/>
  <c r="Q12" i="3"/>
  <c r="L46" i="2"/>
  <c r="L56" i="2"/>
  <c r="L49" i="2"/>
  <c r="L45" i="2"/>
  <c r="L48" i="2"/>
  <c r="L58" i="2"/>
  <c r="L47" i="2"/>
  <c r="L34" i="2"/>
  <c r="L33" i="2"/>
  <c r="Q4" i="3"/>
  <c r="D46" i="2"/>
  <c r="D56" i="2"/>
  <c r="D49" i="2"/>
  <c r="D45" i="2"/>
  <c r="D48" i="2"/>
  <c r="D58" i="2"/>
  <c r="D47" i="2"/>
  <c r="D34" i="2"/>
  <c r="D33" i="2"/>
  <c r="C25" i="2"/>
  <c r="C27" i="2"/>
  <c r="C26" i="2"/>
  <c r="G25" i="2"/>
  <c r="V21" i="3"/>
  <c r="F19" i="2"/>
  <c r="F18" i="2"/>
  <c r="F12" i="2"/>
  <c r="F17" i="2"/>
  <c r="F11" i="2"/>
  <c r="H27" i="2"/>
  <c r="H26" i="2"/>
  <c r="H25" i="2"/>
  <c r="K20" i="2"/>
  <c r="L27" i="2"/>
  <c r="L26" i="2"/>
  <c r="L25" i="2"/>
  <c r="L28" i="2" s="1"/>
  <c r="L29" i="2" s="1"/>
  <c r="L30" i="2" s="1"/>
  <c r="I21" i="2"/>
  <c r="I22" i="2" s="1"/>
  <c r="B10" i="2"/>
  <c r="N6" i="2"/>
  <c r="N5" i="2" s="1"/>
  <c r="D3" i="3" s="1"/>
  <c r="H20" i="2"/>
  <c r="E14" i="2"/>
  <c r="M14" i="2"/>
  <c r="L20" i="2"/>
  <c r="D20" i="2"/>
  <c r="I14" i="2"/>
  <c r="C48" i="2" l="1"/>
  <c r="G34" i="2"/>
  <c r="Q3" i="3"/>
  <c r="C46" i="2"/>
  <c r="K14" i="2"/>
  <c r="C56" i="2"/>
  <c r="C45" i="2"/>
  <c r="G14" i="2"/>
  <c r="Q7" i="3" s="1"/>
  <c r="D50" i="2"/>
  <c r="G26" i="2"/>
  <c r="G28" i="2" s="1"/>
  <c r="G29" i="2" s="1"/>
  <c r="G30" i="2" s="1"/>
  <c r="L35" i="2"/>
  <c r="L36" i="2" s="1"/>
  <c r="L37" i="2" s="1"/>
  <c r="G27" i="2"/>
  <c r="L50" i="2"/>
  <c r="K28" i="2"/>
  <c r="K29" i="2" s="1"/>
  <c r="K30" i="2" s="1"/>
  <c r="G49" i="2"/>
  <c r="E35" i="2"/>
  <c r="E36" i="2" s="1"/>
  <c r="E37" i="2" s="1"/>
  <c r="K21" i="2"/>
  <c r="K22" i="2" s="1"/>
  <c r="F34" i="2"/>
  <c r="F33" i="2"/>
  <c r="J34" i="2"/>
  <c r="J33" i="2"/>
  <c r="J35" i="2" s="1"/>
  <c r="J36" i="2" s="1"/>
  <c r="J37" i="2" s="1"/>
  <c r="L40" i="2"/>
  <c r="L41" i="2" s="1"/>
  <c r="L21" i="2"/>
  <c r="L22" i="2" s="1"/>
  <c r="H28" i="2"/>
  <c r="H29" i="2" s="1"/>
  <c r="H30" i="2" s="1"/>
  <c r="E21" i="2"/>
  <c r="E22" i="2" s="1"/>
  <c r="J26" i="2"/>
  <c r="J25" i="2"/>
  <c r="J28" i="2" s="1"/>
  <c r="J29" i="2" s="1"/>
  <c r="J30" i="2" s="1"/>
  <c r="J27" i="2"/>
  <c r="G21" i="2"/>
  <c r="G22" i="2" s="1"/>
  <c r="M35" i="2"/>
  <c r="M36" i="2" s="1"/>
  <c r="M37" i="2" s="1"/>
  <c r="M56" i="2"/>
  <c r="M49" i="2"/>
  <c r="M45" i="2"/>
  <c r="Q13" i="3"/>
  <c r="M48" i="2"/>
  <c r="M58" i="2"/>
  <c r="M47" i="2"/>
  <c r="M46" i="2"/>
  <c r="V17" i="3"/>
  <c r="N10" i="2"/>
  <c r="B19" i="2"/>
  <c r="N19" i="2" s="1"/>
  <c r="B18" i="2"/>
  <c r="N18" i="2" s="1"/>
  <c r="B12" i="2"/>
  <c r="B17" i="2"/>
  <c r="B11" i="2"/>
  <c r="F20" i="2"/>
  <c r="D35" i="2"/>
  <c r="D36" i="2" s="1"/>
  <c r="D37" i="2" s="1"/>
  <c r="J20" i="2"/>
  <c r="I28" i="2"/>
  <c r="M28" i="2"/>
  <c r="E28" i="2"/>
  <c r="E29" i="2" s="1"/>
  <c r="E30" i="2" s="1"/>
  <c r="K35" i="2"/>
  <c r="K36" i="2" s="1"/>
  <c r="K37" i="2" s="1"/>
  <c r="C21" i="2"/>
  <c r="C22" i="2" s="1"/>
  <c r="C35" i="2"/>
  <c r="C36" i="2" s="1"/>
  <c r="C37" i="2" s="1"/>
  <c r="C50" i="2"/>
  <c r="D21" i="2"/>
  <c r="D22" i="2" s="1"/>
  <c r="H21" i="2"/>
  <c r="H22" i="2" s="1"/>
  <c r="F26" i="2"/>
  <c r="F25" i="2"/>
  <c r="F27" i="2"/>
  <c r="I56" i="2"/>
  <c r="I49" i="2"/>
  <c r="I45" i="2"/>
  <c r="Q9" i="3"/>
  <c r="I48" i="2"/>
  <c r="I58" i="2"/>
  <c r="I47" i="2"/>
  <c r="I46" i="2"/>
  <c r="E56" i="2"/>
  <c r="E49" i="2"/>
  <c r="E45" i="2"/>
  <c r="Q5" i="3"/>
  <c r="E48" i="2"/>
  <c r="E58" i="2"/>
  <c r="E47" i="2"/>
  <c r="E46" i="2"/>
  <c r="F14" i="2"/>
  <c r="C28" i="2"/>
  <c r="C29" i="2" s="1"/>
  <c r="C30" i="2" s="1"/>
  <c r="H35" i="2"/>
  <c r="H36" i="2" s="1"/>
  <c r="H37" i="2" s="1"/>
  <c r="J14" i="2"/>
  <c r="D28" i="2"/>
  <c r="D29" i="2" s="1"/>
  <c r="D30" i="2" s="1"/>
  <c r="G35" i="2"/>
  <c r="G36" i="2" s="1"/>
  <c r="G37" i="2" s="1"/>
  <c r="I35" i="2"/>
  <c r="I36" i="2" s="1"/>
  <c r="I37" i="2" s="1"/>
  <c r="H50" i="2"/>
  <c r="G47" i="2" l="1"/>
  <c r="G45" i="2"/>
  <c r="G58" i="2"/>
  <c r="G56" i="2"/>
  <c r="G48" i="2"/>
  <c r="G46" i="2"/>
  <c r="K56" i="2"/>
  <c r="K48" i="2"/>
  <c r="K47" i="2"/>
  <c r="Q11" i="3"/>
  <c r="K58" i="2"/>
  <c r="K49" i="2"/>
  <c r="K45" i="2"/>
  <c r="K46" i="2"/>
  <c r="H40" i="2"/>
  <c r="H41" i="2" s="1"/>
  <c r="F28" i="2"/>
  <c r="F29" i="2" s="1"/>
  <c r="F30" i="2" s="1"/>
  <c r="I50" i="2"/>
  <c r="M29" i="2"/>
  <c r="M30" i="2" s="1"/>
  <c r="M40" i="2"/>
  <c r="M41" i="2" s="1"/>
  <c r="F21" i="2"/>
  <c r="F22" i="2" s="1"/>
  <c r="B34" i="2"/>
  <c r="N34" i="2" s="1"/>
  <c r="N12" i="2"/>
  <c r="B33" i="2"/>
  <c r="B14" i="2"/>
  <c r="M50" i="2"/>
  <c r="F48" i="2"/>
  <c r="F58" i="2"/>
  <c r="F47" i="2"/>
  <c r="Q6" i="3"/>
  <c r="F46" i="2"/>
  <c r="F56" i="2"/>
  <c r="F49" i="2"/>
  <c r="F45" i="2"/>
  <c r="I46" i="3"/>
  <c r="Q32" i="3"/>
  <c r="J3" i="3"/>
  <c r="N7" i="2"/>
  <c r="E40" i="2"/>
  <c r="E41" i="2" s="1"/>
  <c r="D40" i="2"/>
  <c r="D41" i="2" s="1"/>
  <c r="C40" i="2"/>
  <c r="C41" i="2" s="1"/>
  <c r="I29" i="2"/>
  <c r="I30" i="2" s="1"/>
  <c r="I40" i="2"/>
  <c r="I41" i="2" s="1"/>
  <c r="B26" i="2"/>
  <c r="N26" i="2" s="1"/>
  <c r="B25" i="2"/>
  <c r="B27" i="2"/>
  <c r="N27" i="2" s="1"/>
  <c r="N11" i="2"/>
  <c r="I49" i="3" s="1"/>
  <c r="G40" i="2"/>
  <c r="G41" i="2" s="1"/>
  <c r="J48" i="2"/>
  <c r="J58" i="2"/>
  <c r="J47" i="2"/>
  <c r="Q10" i="3"/>
  <c r="J46" i="2"/>
  <c r="J56" i="2"/>
  <c r="J49" i="2"/>
  <c r="J45" i="2"/>
  <c r="H42" i="2"/>
  <c r="H52" i="2"/>
  <c r="E50" i="2"/>
  <c r="J40" i="2"/>
  <c r="J41" i="2" s="1"/>
  <c r="J21" i="2"/>
  <c r="J22" i="2" s="1"/>
  <c r="B20" i="2"/>
  <c r="N17" i="2"/>
  <c r="L42" i="2"/>
  <c r="L52" i="2"/>
  <c r="F35" i="2"/>
  <c r="F36" i="2" s="1"/>
  <c r="F37" i="2" s="1"/>
  <c r="K40" i="2"/>
  <c r="K41" i="2" s="1"/>
  <c r="G50" i="2" l="1"/>
  <c r="F50" i="2"/>
  <c r="K50" i="2"/>
  <c r="F40" i="2"/>
  <c r="F41" i="2" s="1"/>
  <c r="F42" i="2" s="1"/>
  <c r="K52" i="2"/>
  <c r="K42" i="2"/>
  <c r="J42" i="2"/>
  <c r="Q34" i="3"/>
  <c r="I48" i="3"/>
  <c r="N20" i="2"/>
  <c r="J46" i="3" s="1"/>
  <c r="B21" i="2"/>
  <c r="H57" i="2"/>
  <c r="H60" i="2" s="1"/>
  <c r="H53" i="2"/>
  <c r="R8" i="3"/>
  <c r="Q33" i="3"/>
  <c r="I47" i="3"/>
  <c r="D42" i="2"/>
  <c r="D52" i="2"/>
  <c r="M42" i="2"/>
  <c r="M52" i="2"/>
  <c r="C52" i="2"/>
  <c r="C42" i="2"/>
  <c r="I42" i="2"/>
  <c r="I52" i="2"/>
  <c r="E42" i="2"/>
  <c r="E52" i="2"/>
  <c r="B48" i="2"/>
  <c r="N48" i="2" s="1"/>
  <c r="B58" i="2"/>
  <c r="N58" i="2" s="1"/>
  <c r="B52" i="3" s="1"/>
  <c r="B47" i="2"/>
  <c r="N47" i="2" s="1"/>
  <c r="Q2" i="3"/>
  <c r="B46" i="2"/>
  <c r="N46" i="2" s="1"/>
  <c r="B56" i="2"/>
  <c r="N56" i="2" s="1"/>
  <c r="B49" i="2"/>
  <c r="N49" i="2" s="1"/>
  <c r="B45" i="2"/>
  <c r="N14" i="2"/>
  <c r="G52" i="2"/>
  <c r="G42" i="2"/>
  <c r="L57" i="2"/>
  <c r="L60" i="2" s="1"/>
  <c r="L53" i="2"/>
  <c r="R12" i="3"/>
  <c r="J50" i="2"/>
  <c r="J52" i="2" s="1"/>
  <c r="N25" i="2"/>
  <c r="B28" i="2"/>
  <c r="B35" i="2"/>
  <c r="N33" i="2"/>
  <c r="F52" i="2" l="1"/>
  <c r="L61" i="2"/>
  <c r="S12" i="3"/>
  <c r="J53" i="2"/>
  <c r="R10" i="3"/>
  <c r="J57" i="2"/>
  <c r="J60" i="2" s="1"/>
  <c r="H61" i="2"/>
  <c r="S8" i="3"/>
  <c r="B50" i="2"/>
  <c r="N50" i="2" s="1"/>
  <c r="B49" i="3" s="1"/>
  <c r="N45" i="2"/>
  <c r="N35" i="2"/>
  <c r="J48" i="3" s="1"/>
  <c r="B36" i="2"/>
  <c r="R5" i="3"/>
  <c r="E53" i="2"/>
  <c r="E57" i="2"/>
  <c r="E60" i="2" s="1"/>
  <c r="D57" i="2"/>
  <c r="D60" i="2" s="1"/>
  <c r="D53" i="2"/>
  <c r="R4" i="3"/>
  <c r="B22" i="2"/>
  <c r="N21" i="2"/>
  <c r="K57" i="2"/>
  <c r="K60" i="2" s="1"/>
  <c r="R11" i="3"/>
  <c r="K53" i="2"/>
  <c r="N28" i="2"/>
  <c r="J47" i="3" s="1"/>
  <c r="B29" i="2"/>
  <c r="G57" i="2"/>
  <c r="G60" i="2" s="1"/>
  <c r="R7" i="3"/>
  <c r="G53" i="2"/>
  <c r="C57" i="2"/>
  <c r="C60" i="2" s="1"/>
  <c r="R3" i="3"/>
  <c r="C53" i="2"/>
  <c r="F53" i="2"/>
  <c r="R6" i="3"/>
  <c r="F57" i="2"/>
  <c r="F60" i="2" s="1"/>
  <c r="A3" i="3"/>
  <c r="B46" i="3"/>
  <c r="C46" i="3" s="1"/>
  <c r="R9" i="3"/>
  <c r="I53" i="2"/>
  <c r="I57" i="2"/>
  <c r="I60" i="2" s="1"/>
  <c r="R13" i="3"/>
  <c r="M53" i="2"/>
  <c r="M57" i="2"/>
  <c r="M60" i="2" s="1"/>
  <c r="B40" i="2"/>
  <c r="C52" i="3" l="1"/>
  <c r="D61" i="2"/>
  <c r="S4" i="3"/>
  <c r="S6" i="3"/>
  <c r="F61" i="2"/>
  <c r="S7" i="3"/>
  <c r="G61" i="2"/>
  <c r="E61" i="2"/>
  <c r="S5" i="3"/>
  <c r="M61" i="2"/>
  <c r="S13" i="3"/>
  <c r="I61" i="2"/>
  <c r="S9" i="3"/>
  <c r="S10" i="3"/>
  <c r="J61" i="2"/>
  <c r="S3" i="3"/>
  <c r="C61" i="2"/>
  <c r="N36" i="2"/>
  <c r="B37" i="2"/>
  <c r="K46" i="3"/>
  <c r="N22" i="2"/>
  <c r="L46" i="3" s="1"/>
  <c r="B30" i="2"/>
  <c r="N29" i="2"/>
  <c r="N40" i="2"/>
  <c r="B41" i="2"/>
  <c r="S11" i="3"/>
  <c r="K61" i="2"/>
  <c r="C49" i="3"/>
  <c r="B47" i="3" l="1"/>
  <c r="J49" i="3"/>
  <c r="B42" i="2"/>
  <c r="B52" i="2"/>
  <c r="N41" i="2"/>
  <c r="K47" i="3"/>
  <c r="N30" i="2"/>
  <c r="L47" i="3" s="1"/>
  <c r="K48" i="3"/>
  <c r="N37" i="2"/>
  <c r="L48" i="3" s="1"/>
  <c r="B53" i="2" l="1"/>
  <c r="R2" i="3"/>
  <c r="N52" i="2"/>
  <c r="B57" i="2"/>
  <c r="N57" i="2" s="1"/>
  <c r="B51" i="3" s="1"/>
  <c r="C51" i="3" s="1"/>
  <c r="N42" i="2"/>
  <c r="L49" i="3" s="1"/>
  <c r="K49" i="3"/>
  <c r="B48" i="3"/>
  <c r="C48" i="3" s="1"/>
  <c r="N53" i="2" l="1"/>
  <c r="D7" i="3" s="1"/>
  <c r="A7" i="3"/>
  <c r="B50" i="3"/>
  <c r="C50" i="3" s="1"/>
  <c r="B60" i="2"/>
  <c r="S2" i="3" l="1"/>
  <c r="N60" i="2"/>
  <c r="B61" i="2"/>
  <c r="B53" i="3" l="1"/>
  <c r="C53" i="3" s="1"/>
  <c r="G7" i="3"/>
  <c r="N61" i="2"/>
  <c r="J7" i="3" s="1"/>
</calcChain>
</file>

<file path=xl/sharedStrings.xml><?xml version="1.0" encoding="utf-8"?>
<sst xmlns="http://schemas.openxmlformats.org/spreadsheetml/2006/main" count="227" uniqueCount="148">
  <si>
    <t>150-Key Luxury Resort – Pro Forma Assumptions</t>
  </si>
  <si>
    <t>Operating Drivers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</si>
  <si>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</si>
  <si>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</si>
  <si>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</si>
  <si>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</si>
  <si>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</si>
  <si>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</si>
  <si>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</si>
  <si>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</si>
  <si>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</si>
  <si>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</si>
  <si>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</si>
  <si>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</si>
  <si>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/ Annual</t>
  </si>
  <si>
    <t>Total Keys</t>
  </si>
  <si>
    <t>Days per Month</t>
  </si>
  <si>
    <t>Occupancy</t>
  </si>
  <si>
    <t>ADR ($)</t>
  </si>
  <si>
    <t>Baseline P&amp;L Assumptions</t>
  </si>
  <si>
    <t>Assumption</t>
  </si>
  <si>
    <t>Baseline</t>
  </si>
  <si>
    <t>Formula / Meaning</t>
  </si>
  <si>
    <t>Source / Note</t>
  </si>
  <si>
    <t>F&amp;B Revenue / Rooms Revenue</t>
  </si>
  <si>
    <t>F&amp;B Revenue = Rooms Revenue × %</t>
  </si>
  <si>
    <t>User-provided prompt</t>
  </si>
  <si>
    <t>Spa/Other Revenue / Rooms Revenue</t>
  </si>
  <si>
    <t>Other Operated Dept Revenue = Rooms Revenue × %</t>
  </si>
  <si>
    <t>Rooms Payroll &amp; Related / Rooms Rev</t>
  </si>
  <si>
    <t>Rooms Payroll = Rooms Revenue × %</t>
  </si>
  <si>
    <t>Model baseline within requested 75%–78% Rooms profit margin</t>
  </si>
  <si>
    <t>Rooms Other OpEx / Rooms Rev</t>
  </si>
  <si>
    <t>Rooms Other OpEx = Rooms Revenue × %</t>
  </si>
  <si>
    <t>Model baseline</t>
  </si>
  <si>
    <t>F&amp;B COGS / F&amp;B Rev</t>
  </si>
  <si>
    <t>F&amp;B COGS = F&amp;B Revenue × %</t>
  </si>
  <si>
    <t>User requested approx. 30%</t>
  </si>
  <si>
    <t>F&amp;B Payroll &amp; Related / F&amp;B Rev</t>
  </si>
  <si>
    <t>F&amp;B Payroll = F&amp;B Revenue × %</t>
  </si>
  <si>
    <t>User requested approx. 35%</t>
  </si>
  <si>
    <t>F&amp;B Other OpEx / F&amp;B Rev</t>
  </si>
  <si>
    <t>F&amp;B Other OpEx = F&amp;B Revenue × %</t>
  </si>
  <si>
    <t>Sets F&amp;B departmental profit margin to 22.5%</t>
  </si>
  <si>
    <t>Spa/Other Payroll / Other Rev</t>
  </si>
  <si>
    <t>Spa/Other Payroll = Other Revenue × %</t>
  </si>
  <si>
    <t>Spa/Other Other OpEx / Other Rev</t>
  </si>
  <si>
    <t>Spa/Other Other OpEx = Other Revenue × %</t>
  </si>
  <si>
    <t>Sets Other Dept profit margin to 37.5%</t>
  </si>
  <si>
    <t>A&amp;G / Total Operating Revenue</t>
  </si>
  <si>
    <t>A&amp;G = Total Operating Revenue × %</t>
  </si>
  <si>
    <t>Within requested 8%–10%</t>
  </si>
  <si>
    <t>IT&amp;S / Total Operating Revenue</t>
  </si>
  <si>
    <t>IT&amp;S = Total Operating Revenue × %</t>
  </si>
  <si>
    <t>Added for USALI 11 completeness; HFTP lists IT&amp;S as an undistributed department</t>
  </si>
  <si>
    <t>S&amp;M / Total Operating Revenue</t>
  </si>
  <si>
    <t>S&amp;M = Total Operating Revenue × %</t>
  </si>
  <si>
    <t>Within requested 7%–9%; includes OTA/brand marketing per user assumption</t>
  </si>
  <si>
    <t>POM / Total Operating Revenue</t>
  </si>
  <si>
    <t>POM = Total Operating Revenue × %</t>
  </si>
  <si>
    <t>Within requested 4%–5%</t>
  </si>
  <si>
    <t>Utilities / Total Operating Revenue</t>
  </si>
  <si>
    <t>Utilities = Total Operating Revenue × %</t>
  </si>
  <si>
    <t>Within requested 5%–6%</t>
  </si>
  <si>
    <t>Base Management Fee / Total Revenue</t>
  </si>
  <si>
    <t>Base Fee = Total Operating Revenue × %</t>
  </si>
  <si>
    <t>Incentive Fee / GOP</t>
  </si>
  <si>
    <t>Incentive Fee = GOP × %</t>
  </si>
  <si>
    <t>FF&amp;E Reserve / Total Revenue</t>
  </si>
  <si>
    <t>FF&amp;E Reserve = Total Operating Revenue × %</t>
  </si>
  <si>
    <t>150-Key Luxury Resort – 12-Month Pro Forma P&amp;L (USD)</t>
  </si>
  <si>
    <t>Line Item</t>
  </si>
  <si>
    <t>Available Rooms</t>
  </si>
  <si>
    <t>Rooms Sold</t>
  </si>
  <si>
    <t>ADR</t>
  </si>
  <si>
    <t>OPERATING REVENUE</t>
  </si>
  <si>
    <t>Rooms Revenue</t>
  </si>
  <si>
    <t>Food &amp; Beverage Revenue</t>
  </si>
  <si>
    <t>Other Operated Departments Revenue – Spa/Minor</t>
  </si>
  <si>
    <t>Miscellaneous Income</t>
  </si>
  <si>
    <t>Total Operating Revenue</t>
  </si>
  <si>
    <t>ROOMS DEPARTMENT</t>
  </si>
  <si>
    <t>Payroll &amp; Related</t>
  </si>
  <si>
    <t>Other Operating Expenses</t>
  </si>
  <si>
    <t>Total Rooms Department Expenses</t>
  </si>
  <si>
    <t>Rooms Department Profit</t>
  </si>
  <si>
    <t>Rooms Department Profit Margin</t>
  </si>
  <si>
    <t>FOOD &amp; BEVERAGE DEPARTMENT</t>
  </si>
  <si>
    <t>Cost of Goods Sold</t>
  </si>
  <si>
    <t>Total F&amp;B Department Expenses</t>
  </si>
  <si>
    <t>F&amp;B Department Profit</t>
  </si>
  <si>
    <t>F&amp;B Department Profit Margin</t>
  </si>
  <si>
    <t>OTHER OPERATED DEPARTMENTS – SPA/MINOR</t>
  </si>
  <si>
    <t>Total Other Dept Expenses</t>
  </si>
  <si>
    <t>Other Dept Profit</t>
  </si>
  <si>
    <t>Other Dept Profit Margin</t>
  </si>
  <si>
    <t>TOTAL DEPARTMENTAL</t>
  </si>
  <si>
    <t>Total Departmental Expenses</t>
  </si>
  <si>
    <t>Total Departmental Profit</t>
  </si>
  <si>
    <t>Total Departmental Profit Margin</t>
  </si>
  <si>
    <t>UNDISTRIBUTED OPERATING EXPENSES</t>
  </si>
  <si>
    <t>Administrative &amp; General (A&amp;G)</t>
  </si>
  <si>
    <t>Information &amp; Telecommunications Systems (IT&amp;S)</t>
  </si>
  <si>
    <t>Sales &amp; Marketing (S&amp;M)</t>
  </si>
  <si>
    <t>Property Operation &amp; Maintenance (POM)</t>
  </si>
  <si>
    <t>Utilities</t>
  </si>
  <si>
    <t>Total Undistributed Operating Expenses</t>
  </si>
  <si>
    <t>GROSS OPERATING PROFIT (GOP)</t>
  </si>
  <si>
    <t>GOP Margin</t>
  </si>
  <si>
    <t>MANAGEMENT FEES &amp; RESERVE</t>
  </si>
  <si>
    <t>Base Management Fee</t>
  </si>
  <si>
    <t>Incentive Management Fee</t>
  </si>
  <si>
    <t>FF&amp;E Replacement Reserve</t>
  </si>
  <si>
    <t>NOI (per requested scope)</t>
  </si>
  <si>
    <t>NOI Margin</t>
  </si>
  <si>
    <t>Luxury Resort – Financial Performance Dashboard</t>
  </si>
  <si>
    <t>Month</t>
  </si>
  <si>
    <t>Total Revenue</t>
  </si>
  <si>
    <t>GOP</t>
  </si>
  <si>
    <t>NOI</t>
  </si>
  <si>
    <t>RevPAR</t>
  </si>
  <si>
    <t>Gross Operating Profit (GOP)</t>
  </si>
  <si>
    <t>Monthly profitability trend</t>
  </si>
  <si>
    <t>Occupancy trend</t>
  </si>
  <si>
    <t>ADR and RevPAR trend</t>
  </si>
  <si>
    <t>Annual revenue mix</t>
  </si>
  <si>
    <t>Revenue Stream</t>
  </si>
  <si>
    <t>Annual Revenue</t>
  </si>
  <si>
    <t>Rooms</t>
  </si>
  <si>
    <t>Food &amp; Beverage</t>
  </si>
  <si>
    <t>Spa / Other</t>
  </si>
  <si>
    <t>Annual profitability bridge</t>
  </si>
  <si>
    <t>Departmental performance</t>
  </si>
  <si>
    <t>Metric</t>
  </si>
  <si>
    <t>Annual Value</t>
  </si>
  <si>
    <t>% of Total Revenue</t>
  </si>
  <si>
    <t>Department</t>
  </si>
  <si>
    <t>Revenue</t>
  </si>
  <si>
    <t>Expenses</t>
  </si>
  <si>
    <t>Profit</t>
  </si>
  <si>
    <t>Margin</t>
  </si>
  <si>
    <t>Undistributed Operating Expenses</t>
  </si>
  <si>
    <t>Total operated departments</t>
  </si>
  <si>
    <t>Management Fees</t>
  </si>
  <si>
    <t>Distribution Commissions / Rooms Rev</t>
  </si>
  <si>
    <t>Distribution Commissions = Rooms Revenue × effective commission rate</t>
  </si>
  <si>
    <t>Illustrative blended distribution commission cost; OTA and brand marketing expenditure is modeled separately under S&amp;M.</t>
  </si>
  <si>
    <t>Rooms Distribution Commissions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</si>
</sst>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\$#,##0.00;[Red]\(\$#,##0.00\);\-"/>
    <numFmt numFmtId="166" formatCode="#,##0;[Red]\(#,##0\);\-"/>
    <numFmt numFmtId="167" formatCode="\$#,##0;[Red]\(\$#,##0\);\-"/>
    <numFmt numFmtId="168" formatCode="0.0%;[Red]\(0.0%\);\-"/>
    <numFmt numFmtId="169" formatCode="\$0.00;[Red]\(\$0.00\);\-"/>
    <numFmt numFmtId="170" formatCode="\$0.00"/>
  </numFmts>
  <fonts count="16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FF"/>
      <name val="Carlito"/>
    </font>
    <font>
      <i/>
      <sz val="11"/>
      <name val="Carlito"/>
    </font>
    <font>
      <b/>
      <sz val="18"/>
      <color rgb="FFFFFFFF"/>
      <name val="Carlito"/>
    </font>
    <font>
      <b/>
      <sz val="10"/>
      <color rgb="FF1F1F1F"/>
      <name val="Carlito"/>
    </font>
    <font>
      <b/>
      <sz val="17"/>
      <color rgb="FF008000"/>
      <name val="Carlito"/>
    </font>
    <font>
      <b/>
      <sz val="11"/>
      <color rgb="FF1F1F1F"/>
      <name val="Carlito"/>
    </font>
    <font>
      <sz val="10"/>
      <color rgb="FF1F1F1F"/>
      <name val="Carlito"/>
    </font>
    <font>
      <sz val="10"/>
      <color rgb="FF008000"/>
      <name val="Carlito"/>
    </font>
    <font>
      <b/>
      <sz val="10"/>
      <color rgb="FF008000"/>
      <name val="Carlito"/>
    </font>
    <font>
      <sz val="9"/>
      <color rgb="FF008000"/>
      <name val="Carlito"/>
    </font>
    <font>
      <b/>
      <sz val="9"/>
      <color rgb="FF1F1F1F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double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5" fontId="5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7" fontId="4" fillId="4" borderId="2" xfId="0" applyNumberFormat="1" applyFont="1" applyFill="1" applyBorder="1" applyAlignment="1">
      <alignment horizontal="right" vertical="center"/>
    </xf>
    <xf numFmtId="0" fontId="4" fillId="5" borderId="3" xfId="0" applyFont="1" applyFill="1" applyBorder="1" applyAlignment="1">
      <alignment horizontal="left" vertical="center"/>
    </xf>
    <xf numFmtId="167" fontId="4" fillId="5" borderId="3" xfId="0" applyNumberFormat="1" applyFont="1" applyFill="1" applyBorder="1" applyAlignment="1">
      <alignment horizontal="right" vertical="center"/>
    </xf>
    <xf numFmtId="167" fontId="14" fillId="0" borderId="0" xfId="0" applyNumberFormat="1" applyFont="1"/>
    <xf numFmtId="164" fontId="14" fillId="0" borderId="0" xfId="0" applyNumberFormat="1" applyFont="1"/>
    <xf numFmtId="170" fontId="14" fillId="0" borderId="0" xfId="0" applyNumberFormat="1" applyFont="1"/>
    <xf numFmtId="167" fontId="15" fillId="0" borderId="0" xfId="0" applyNumberFormat="1" applyFont="1"/>
    <xf numFmtId="0" fontId="10" fillId="10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167" fontId="12" fillId="0" borderId="0" xfId="0" applyNumberFormat="1" applyFont="1" applyAlignment="1">
      <alignment vertical="center" wrapText="1"/>
    </xf>
    <xf numFmtId="168" fontId="12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167" fontId="13" fillId="0" borderId="0" xfId="0" applyNumberFormat="1" applyFont="1" applyAlignment="1">
      <alignment vertical="center" wrapText="1"/>
    </xf>
    <xf numFmtId="168" fontId="1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1" fillId="11" borderId="0" xfId="0" applyFont="1" applyFill="1" applyAlignment="1">
      <alignment vertical="center" wrapText="1"/>
    </xf>
    <xf numFmtId="167" fontId="12" fillId="11" borderId="0" xfId="0" applyNumberFormat="1" applyFont="1" applyFill="1" applyAlignment="1">
      <alignment vertical="center" wrapText="1"/>
    </xf>
    <xf numFmtId="168" fontId="12" fillId="11" borderId="0" xfId="0" applyNumberFormat="1" applyFont="1" applyFill="1" applyAlignment="1">
      <alignment vertical="center" wrapText="1"/>
    </xf>
    <xf numFmtId="0" fontId="11" fillId="12" borderId="0" xfId="0" applyFont="1" applyFill="1" applyAlignment="1">
      <alignment vertical="center" wrapText="1"/>
    </xf>
    <xf numFmtId="167" fontId="12" fillId="12" borderId="0" xfId="0" applyNumberFormat="1" applyFont="1" applyFill="1" applyAlignment="1">
      <alignment vertical="center" wrapText="1"/>
    </xf>
    <xf numFmtId="168" fontId="12" fillId="12" borderId="0" xfId="0" applyNumberFormat="1" applyFont="1" applyFill="1" applyAlignment="1">
      <alignment vertical="center" wrapText="1"/>
    </xf>
    <xf numFmtId="0" fontId="11" fillId="13" borderId="0" xfId="0" applyFont="1" applyFill="1" applyAlignment="1">
      <alignment vertical="center" wrapText="1"/>
    </xf>
    <xf numFmtId="167" fontId="12" fillId="13" borderId="0" xfId="0" applyNumberFormat="1" applyFont="1" applyFill="1" applyAlignment="1">
      <alignment vertical="center" wrapText="1"/>
    </xf>
    <xf numFmtId="168" fontId="12" fillId="13" borderId="0" xfId="0" applyNumberFormat="1" applyFont="1" applyFill="1" applyAlignment="1">
      <alignment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168" fontId="9" fillId="9" borderId="0" xfId="0" applyNumberFormat="1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167" fontId="9" fillId="8" borderId="0" xfId="0" applyNumberFormat="1" applyFont="1" applyFill="1" applyAlignment="1">
      <alignment horizontal="center" vertical="center" wrapText="1"/>
    </xf>
    <xf numFmtId="168" fontId="9" fillId="8" borderId="0" xfId="0" applyNumberFormat="1" applyFont="1" applyFill="1" applyAlignment="1">
      <alignment horizontal="center" vertical="center" wrapText="1"/>
    </xf>
    <xf numFmtId="167" fontId="9" fillId="9" borderId="0" xfId="0" applyNumberFormat="1" applyFont="1" applyFill="1" applyAlignment="1">
      <alignment horizontal="center" vertical="center" wrapText="1"/>
    </xf>
    <xf numFmtId="0" fontId="7" fillId="6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168" fontId="9" fillId="7" borderId="0" xfId="0" applyNumberFormat="1" applyFont="1" applyFill="1" applyAlignment="1">
      <alignment horizontal="center" vertical="center" wrapText="1"/>
    </xf>
    <xf numFmtId="169" fontId="9" fillId="7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/>
              <a:t>Revenue, GOP and NOI by Month</a:t>
            </a:r>
          </a:p>
        </c:rich>
      </c:tx>
      <c:layout>
        <c:manualLayout>
          <c:xMode val="edge"/>
          <c:yMode val="edge"/>
          <c:x val="0.63395369736391649"/>
          <c:y val="3.9473684210526314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Total Revenue</c:v>
          </c:tx>
          <c:marker>
            <c:symbol val="none"/>
          </c:marker>
          <c:cat>
            <c:strRef>
              <c:f>Dashboard!$P$2:$P$13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Dashboard!$Q$2:$Q$13</c:f>
              <c:numCache>
                <c:formatCode>\$#,##0;[Red]\(\$#,##0\);\-</c:formatCode>
                <c:ptCount val="12"/>
                <c:pt idx="0">
                  <c:v>1362065.625</c:v>
                </c:pt>
                <c:pt idx="1">
                  <c:v>1283817.6000000001</c:v>
                </c:pt>
                <c:pt idx="2">
                  <c:v>1089648.4500000002</c:v>
                </c:pt>
                <c:pt idx="3">
                  <c:v>1035504</c:v>
                </c:pt>
                <c:pt idx="4">
                  <c:v>772656.3</c:v>
                </c:pt>
                <c:pt idx="5">
                  <c:v>1003144.5</c:v>
                </c:pt>
                <c:pt idx="6">
                  <c:v>1362065.625</c:v>
                </c:pt>
                <c:pt idx="7">
                  <c:v>1301648.4000000001</c:v>
                </c:pt>
                <c:pt idx="8">
                  <c:v>772656.3</c:v>
                </c:pt>
                <c:pt idx="9">
                  <c:v>835423.875</c:v>
                </c:pt>
                <c:pt idx="10">
                  <c:v>1145159.1000000001</c:v>
                </c:pt>
                <c:pt idx="11">
                  <c:v>1198617.75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F9-4650-8CC0-D45EAAC287EF}"/>
            </c:ext>
          </c:extLst>
        </c:ser>
        <c:ser>
          <c:idx val="1"/>
          <c:order val="1"/>
          <c:tx>
            <c:v>GOP</c:v>
          </c:tx>
          <c:marker>
            <c:symbol val="none"/>
          </c:marker>
          <c:cat>
            <c:strRef>
              <c:f>Dashboard!$P$2:$P$13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Dashboard!$R$2:$R$13</c:f>
              <c:numCache>
                <c:formatCode>\$#,##0;[Red]\(\$#,##0\);\-</c:formatCode>
                <c:ptCount val="12"/>
                <c:pt idx="0">
                  <c:v>426780.5625</c:v>
                </c:pt>
                <c:pt idx="1">
                  <c:v>402262.84800000006</c:v>
                </c:pt>
                <c:pt idx="2">
                  <c:v>341423.18100000004</c:v>
                </c:pt>
                <c:pt idx="3">
                  <c:v>324457.91999999993</c:v>
                </c:pt>
                <c:pt idx="4">
                  <c:v>242098.97399999999</c:v>
                </c:pt>
                <c:pt idx="5">
                  <c:v>314318.61</c:v>
                </c:pt>
                <c:pt idx="6">
                  <c:v>426780.5625</c:v>
                </c:pt>
                <c:pt idx="7">
                  <c:v>407849.83199999999</c:v>
                </c:pt>
                <c:pt idx="8">
                  <c:v>242098.97399999999</c:v>
                </c:pt>
                <c:pt idx="9">
                  <c:v>261766.14750000002</c:v>
                </c:pt>
                <c:pt idx="10">
                  <c:v>358816.51799999998</c:v>
                </c:pt>
                <c:pt idx="11">
                  <c:v>375566.89499999996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F9-4650-8CC0-D45EAAC287EF}"/>
            </c:ext>
          </c:extLst>
        </c:ser>
        <c:ser>
          <c:idx val="2"/>
          <c:order val="2"/>
          <c:tx>
            <c:v>NOI</c:v>
          </c:tx>
          <c:marker>
            <c:symbol val="none"/>
          </c:marker>
          <c:cat>
            <c:strRef>
              <c:f>Dashboard!$P$2:$P$13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Dashboard!$S$2:$S$13</c:f>
              <c:numCache>
                <c:formatCode>\$#,##0;[Red]\(\$#,##0\);\-</c:formatCode>
                <c:ptCount val="12"/>
                <c:pt idx="0">
                  <c:v>310914.18</c:v>
                </c:pt>
                <c:pt idx="1">
                  <c:v>293052.76416000002</c:v>
                </c:pt>
                <c:pt idx="2">
                  <c:v>248730.41952000005</c:v>
                </c:pt>
                <c:pt idx="3">
                  <c:v>236371.0463999999</c:v>
                </c:pt>
                <c:pt idx="4">
                  <c:v>176371.67807999998</c:v>
                </c:pt>
                <c:pt idx="5">
                  <c:v>228984.45119999998</c:v>
                </c:pt>
                <c:pt idx="6">
                  <c:v>310914.18</c:v>
                </c:pt>
                <c:pt idx="7">
                  <c:v>297122.94144000002</c:v>
                </c:pt>
                <c:pt idx="8">
                  <c:v>176371.67807999998</c:v>
                </c:pt>
                <c:pt idx="9">
                  <c:v>190699.42320000002</c:v>
                </c:pt>
                <c:pt idx="10">
                  <c:v>261401.65056000004</c:v>
                </c:pt>
                <c:pt idx="11">
                  <c:v>273604.47839999996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DF9-4650-8CC0-D45EAAC28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/>
              <a:t>Monthly Occupancy</a:t>
            </a:r>
          </a:p>
        </c:rich>
      </c:tx>
      <c:layout>
        <c:manualLayout>
          <c:xMode val="edge"/>
          <c:yMode val="edge"/>
          <c:x val="0.77830722331583557"/>
          <c:y val="4.3859649122807015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Occupancy</c:v>
          </c:tx>
          <c:marker>
            <c:symbol val="none"/>
          </c:marker>
          <c:cat>
            <c:strRef>
              <c:f>Dashboard!$P$17:$P$28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Dashboard!$Q$17:$Q$28</c:f>
              <c:numCache>
                <c:formatCode>0.0%</c:formatCode>
                <c:ptCount val="12"/>
                <c:pt idx="0">
                  <c:v>0.75</c:v>
                </c:pt>
                <c:pt idx="1">
                  <c:v>0.72</c:v>
                </c:pt>
                <c:pt idx="2">
                  <c:v>0.66</c:v>
                </c:pt>
                <c:pt idx="3">
                  <c:v>0.64</c:v>
                </c:pt>
                <c:pt idx="4">
                  <c:v>0.52</c:v>
                </c:pt>
                <c:pt idx="5">
                  <c:v>0.62</c:v>
                </c:pt>
                <c:pt idx="6">
                  <c:v>0.75</c:v>
                </c:pt>
                <c:pt idx="7">
                  <c:v>0.73</c:v>
                </c:pt>
                <c:pt idx="8">
                  <c:v>0.52</c:v>
                </c:pt>
                <c:pt idx="9">
                  <c:v>0.55000000000000004</c:v>
                </c:pt>
                <c:pt idx="10">
                  <c:v>0.68</c:v>
                </c:pt>
                <c:pt idx="11">
                  <c:v>0.66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35-403A-AAFA-ECB9B1A06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/>
              <a:t>ADR vs RevPAR</a:t>
            </a:r>
          </a:p>
        </c:rich>
      </c:tx>
      <c:layout>
        <c:manualLayout>
          <c:xMode val="edge"/>
          <c:yMode val="edge"/>
          <c:x val="0.79889492753623192"/>
          <c:y val="3.5087719298245612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ADR</c:v>
          </c:tx>
          <c:marker>
            <c:symbol val="none"/>
          </c:marker>
          <c:cat>
            <c:strRef>
              <c:f>Dashboard!$T$17:$T$28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Dashboard!$U$17:$U$28</c:f>
              <c:numCache>
                <c:formatCode>\$0.00</c:formatCode>
                <c:ptCount val="12"/>
                <c:pt idx="0">
                  <c:v>269.05</c:v>
                </c:pt>
                <c:pt idx="1">
                  <c:v>264.16000000000003</c:v>
                </c:pt>
                <c:pt idx="2">
                  <c:v>244.59</c:v>
                </c:pt>
                <c:pt idx="3">
                  <c:v>239.7</c:v>
                </c:pt>
                <c:pt idx="4">
                  <c:v>220.13</c:v>
                </c:pt>
                <c:pt idx="5">
                  <c:v>239.7</c:v>
                </c:pt>
                <c:pt idx="6">
                  <c:v>269.05</c:v>
                </c:pt>
                <c:pt idx="7">
                  <c:v>264.16000000000003</c:v>
                </c:pt>
                <c:pt idx="8">
                  <c:v>220.13</c:v>
                </c:pt>
                <c:pt idx="9">
                  <c:v>225.03</c:v>
                </c:pt>
                <c:pt idx="10">
                  <c:v>249.49</c:v>
                </c:pt>
                <c:pt idx="11">
                  <c:v>269.05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DF-4DB7-99C9-6C02B7675E9E}"/>
            </c:ext>
          </c:extLst>
        </c:ser>
        <c:ser>
          <c:idx val="1"/>
          <c:order val="1"/>
          <c:tx>
            <c:v>RevPAR</c:v>
          </c:tx>
          <c:marker>
            <c:symbol val="none"/>
          </c:marker>
          <c:cat>
            <c:strRef>
              <c:f>Dashboard!$T$17:$T$28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Dashboard!$V$17:$V$28</c:f>
              <c:numCache>
                <c:formatCode>\$0.00</c:formatCode>
                <c:ptCount val="12"/>
                <c:pt idx="0">
                  <c:v>201.78749999999999</c:v>
                </c:pt>
                <c:pt idx="1">
                  <c:v>190.1952</c:v>
                </c:pt>
                <c:pt idx="2">
                  <c:v>161.42940000000002</c:v>
                </c:pt>
                <c:pt idx="3">
                  <c:v>153.40799999999999</c:v>
                </c:pt>
                <c:pt idx="4">
                  <c:v>114.4676</c:v>
                </c:pt>
                <c:pt idx="5">
                  <c:v>148.614</c:v>
                </c:pt>
                <c:pt idx="6">
                  <c:v>201.78749999999999</c:v>
                </c:pt>
                <c:pt idx="7">
                  <c:v>192.83680000000001</c:v>
                </c:pt>
                <c:pt idx="8">
                  <c:v>114.4676</c:v>
                </c:pt>
                <c:pt idx="9">
                  <c:v>123.76649999999999</c:v>
                </c:pt>
                <c:pt idx="10">
                  <c:v>169.6532</c:v>
                </c:pt>
                <c:pt idx="11">
                  <c:v>177.57300000000001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7DF-4DB7-99C9-6C02B7675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/>
              <a:t>Annual Revenue Mix</a:t>
            </a:r>
          </a:p>
        </c:rich>
      </c:tx>
      <c:layout>
        <c:manualLayout>
          <c:xMode val="edge"/>
          <c:yMode val="edge"/>
          <c:x val="0.77887152777777779"/>
          <c:y val="3.5087719298245612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v>Annual Revenue</c:v>
          </c:tx>
          <c:cat>
            <c:strRef>
              <c:f>Dashboard!$P$32:$P$34</c:f>
              <c:strCache>
                <c:ptCount val="3"/>
                <c:pt idx="0">
                  <c:v>Rooms</c:v>
                </c:pt>
                <c:pt idx="1">
                  <c:v>Food &amp; Beverage</c:v>
                </c:pt>
                <c:pt idx="2">
                  <c:v>Spa / Other</c:v>
                </c:pt>
              </c:strCache>
            </c:strRef>
          </c:cat>
          <c:val>
            <c:numRef>
              <c:f>Dashboard!$Q$32:$Q$34</c:f>
              <c:numCache>
                <c:formatCode>\$#,##0;[Red]\(\$#,##0\);\-</c:formatCode>
                <c:ptCount val="3"/>
                <c:pt idx="0">
                  <c:v>8774938.3500000015</c:v>
                </c:pt>
                <c:pt idx="1">
                  <c:v>3509975.3400000003</c:v>
                </c:pt>
                <c:pt idx="2">
                  <c:v>877493.83500000008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9-496D-A91A-DFEB201E4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7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14</xdr:col>
      <xdr:colOff>0</xdr:colOff>
      <xdr:row>26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7</xdr:col>
      <xdr:colOff>0</xdr:colOff>
      <xdr:row>43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opLeftCell="C1" workbookViewId="0">
      <selection activeCell="D14" sqref="D14"/>
    </sheetView>
  </sheetViews>
  <sheetFormatPr defaultRowHeight="14.25"/>
  <cols>
    <col min="1" max="1" width="34" customWidth="1"/>
    <col min="2" max="2" width="14" customWidth="1"/>
    <col min="3" max="3" width="44" customWidth="1"/>
    <col min="4" max="4" width="58" style="1" customWidth="1"/>
    <col min="5" max="14" width="12" customWidth="1"/>
  </cols>
  <sheetData>
    <row r="1" spans="1:14" ht="24" customHeight="1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2" spans="1:14">
      <c r="A2" s="2"/>
      <c r="B2" s="2"/>
      <c r="C2" s="2"/>
      <c r="D2" s="10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>
      <c r="A3" s="3" t="s">
        <v>1</v>
      </c>
      <c r="B3" s="3" t="s">
        <v>2</v>
      </c>
      <c r="C3" s="3" t="s">
        <v>3</v>
      </c>
      <c r="D3" s="6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 spans="1:14">
      <c r="A4" s="2" t="s">
        <v>15</v>
      </c>
      <c r="B4" s="4">
        <v>150</v>
      </c>
      <c r="C4" s="4">
        <v>150</v>
      </c>
      <c r="D4" s="65">
        <v>150</v>
      </c>
      <c r="E4" s="4">
        <v>150</v>
      </c>
      <c r="F4" s="4">
        <v>150</v>
      </c>
      <c r="G4" s="4">
        <v>150</v>
      </c>
      <c r="H4" s="4">
        <v>150</v>
      </c>
      <c r="I4" s="4">
        <v>150</v>
      </c>
      <c r="J4" s="4">
        <v>150</v>
      </c>
      <c r="K4" s="4">
        <v>150</v>
      </c>
      <c r="L4" s="4">
        <v>150</v>
      </c>
      <c r="M4" s="4">
        <v>150</v>
      </c>
      <c r="N4" s="2">
        <f>B4</f>
        <v>150</v>
      </c>
    </row>
    <row r="5" spans="1:14">
      <c r="A5" s="2" t="s">
        <v>16</v>
      </c>
      <c r="B5" s="4">
        <v>30</v>
      </c>
      <c r="C5" s="4">
        <v>30</v>
      </c>
      <c r="D5" s="65">
        <v>30</v>
      </c>
      <c r="E5" s="4">
        <v>30</v>
      </c>
      <c r="F5" s="4">
        <v>30</v>
      </c>
      <c r="G5" s="4">
        <v>30</v>
      </c>
      <c r="H5" s="4">
        <v>30</v>
      </c>
      <c r="I5" s="4">
        <v>30</v>
      </c>
      <c r="J5" s="4">
        <v>30</v>
      </c>
      <c r="K5" s="4">
        <v>30</v>
      </c>
      <c r="L5" s="4">
        <v>30</v>
      </c>
      <c r="M5" s="4">
        <v>30</v>
      </c>
      <c r="N5" s="2">
        <f>SUM(B5:M5)</f>
        <v>360</v>
      </c>
    </row>
    <row r="6" spans="1:14">
      <c r="A6" s="2" t="s">
        <v>17</v>
      </c>
      <c r="B6" s="5">
        <v>0.75</v>
      </c>
      <c r="C6" s="5">
        <v>0.72</v>
      </c>
      <c r="D6" s="66">
        <v>0.66</v>
      </c>
      <c r="E6" s="5">
        <v>0.64</v>
      </c>
      <c r="F6" s="5">
        <v>0.52</v>
      </c>
      <c r="G6" s="5">
        <v>0.62</v>
      </c>
      <c r="H6" s="5">
        <v>0.75</v>
      </c>
      <c r="I6" s="5">
        <v>0.73</v>
      </c>
      <c r="J6" s="5">
        <v>0.52</v>
      </c>
      <c r="K6" s="5">
        <v>0.55000000000000004</v>
      </c>
      <c r="L6" s="5">
        <v>0.68</v>
      </c>
      <c r="M6" s="5">
        <v>0.66</v>
      </c>
      <c r="N6" s="6">
        <f>AVERAGE(B6:M6)</f>
        <v>0.65</v>
      </c>
    </row>
    <row r="7" spans="1:14">
      <c r="A7" s="2" t="s">
        <v>18</v>
      </c>
      <c r="B7" s="7">
        <v>269.05</v>
      </c>
      <c r="C7" s="7">
        <v>264.16000000000003</v>
      </c>
      <c r="D7" s="67">
        <v>244.59</v>
      </c>
      <c r="E7" s="7">
        <v>239.7</v>
      </c>
      <c r="F7" s="7">
        <v>220.13</v>
      </c>
      <c r="G7" s="7">
        <v>239.7</v>
      </c>
      <c r="H7" s="7">
        <v>269.05</v>
      </c>
      <c r="I7" s="7">
        <v>264.16000000000003</v>
      </c>
      <c r="J7" s="7">
        <v>220.13</v>
      </c>
      <c r="K7" s="7">
        <v>225.03</v>
      </c>
      <c r="L7" s="7">
        <v>249.49</v>
      </c>
      <c r="M7" s="7">
        <v>269.05</v>
      </c>
      <c r="N7" s="8">
        <f>SUMPRODUCT(B6:M6,B7:M7)/SUM(B6:M6)</f>
        <v>249.99824358974362</v>
      </c>
    </row>
    <row r="8" spans="1:14">
      <c r="A8" s="2"/>
      <c r="B8" s="2"/>
      <c r="C8" s="2"/>
      <c r="D8" s="10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5">
      <c r="A9" s="62" t="s">
        <v>19</v>
      </c>
      <c r="B9" s="62"/>
      <c r="C9" s="62"/>
      <c r="D9" s="6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15">
      <c r="A10" s="9" t="s">
        <v>20</v>
      </c>
      <c r="B10" s="9" t="s">
        <v>21</v>
      </c>
      <c r="C10" s="9" t="s">
        <v>22</v>
      </c>
      <c r="D10" s="68" t="s">
        <v>23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 t="s">
        <v>24</v>
      </c>
      <c r="B11" s="5">
        <v>0.4</v>
      </c>
      <c r="C11" s="10" t="s">
        <v>25</v>
      </c>
      <c r="D11" s="10" t="s">
        <v>26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28.5">
      <c r="A12" s="2" t="s">
        <v>27</v>
      </c>
      <c r="B12" s="5">
        <v>0.1</v>
      </c>
      <c r="C12" s="10" t="s">
        <v>28</v>
      </c>
      <c r="D12" s="10" t="s">
        <v>26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 t="s">
        <v>29</v>
      </c>
      <c r="B13" s="5">
        <v>0.14000000000000001</v>
      </c>
      <c r="C13" s="10" t="s">
        <v>30</v>
      </c>
      <c r="D13" s="10" t="s">
        <v>31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28.5">
      <c r="A14" s="2" t="s">
        <v>144</v>
      </c>
      <c r="B14" s="5">
        <v>0.03</v>
      </c>
      <c r="C14" s="10" t="s">
        <v>145</v>
      </c>
      <c r="D14" s="1" t="s">
        <v>146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 t="s">
        <v>32</v>
      </c>
      <c r="B15" s="5">
        <v>0.06</v>
      </c>
      <c r="C15" s="10" t="s">
        <v>33</v>
      </c>
      <c r="D15" s="10" t="s">
        <v>34</v>
      </c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 t="s">
        <v>35</v>
      </c>
      <c r="B16" s="5">
        <v>0.3</v>
      </c>
      <c r="C16" s="10" t="s">
        <v>36</v>
      </c>
      <c r="D16" s="10" t="s">
        <v>37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 t="s">
        <v>38</v>
      </c>
      <c r="B17" s="5">
        <v>0.35</v>
      </c>
      <c r="C17" s="10" t="s">
        <v>39</v>
      </c>
      <c r="D17" s="10" t="s">
        <v>40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 t="s">
        <v>41</v>
      </c>
      <c r="B18" s="5">
        <v>0.125</v>
      </c>
      <c r="C18" s="10" t="s">
        <v>42</v>
      </c>
      <c r="D18" s="10" t="s">
        <v>43</v>
      </c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 t="s">
        <v>44</v>
      </c>
      <c r="B19" s="5">
        <v>0.4</v>
      </c>
      <c r="C19" s="10" t="s">
        <v>45</v>
      </c>
      <c r="D19" s="10" t="s">
        <v>34</v>
      </c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 t="s">
        <v>46</v>
      </c>
      <c r="B20" s="5">
        <v>0.22500000000000001</v>
      </c>
      <c r="C20" s="10" t="s">
        <v>47</v>
      </c>
      <c r="D20" s="10" t="s">
        <v>48</v>
      </c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 t="s">
        <v>49</v>
      </c>
      <c r="B21" s="5">
        <v>0.09</v>
      </c>
      <c r="C21" s="10" t="s">
        <v>50</v>
      </c>
      <c r="D21" s="10" t="s">
        <v>51</v>
      </c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28.5">
      <c r="A22" s="2" t="s">
        <v>52</v>
      </c>
      <c r="B22" s="5">
        <v>1.4999999999999999E-2</v>
      </c>
      <c r="C22" s="10" t="s">
        <v>53</v>
      </c>
      <c r="D22" s="10" t="s">
        <v>54</v>
      </c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28.5">
      <c r="A23" s="2" t="s">
        <v>55</v>
      </c>
      <c r="B23" s="5">
        <v>0.08</v>
      </c>
      <c r="C23" s="10" t="s">
        <v>56</v>
      </c>
      <c r="D23" s="10" t="s">
        <v>57</v>
      </c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 t="s">
        <v>58</v>
      </c>
      <c r="B24" s="5">
        <v>4.4999999999999998E-2</v>
      </c>
      <c r="C24" s="10" t="s">
        <v>59</v>
      </c>
      <c r="D24" s="10" t="s">
        <v>60</v>
      </c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 t="s">
        <v>61</v>
      </c>
      <c r="B25" s="5">
        <v>5.5E-2</v>
      </c>
      <c r="C25" s="10" t="s">
        <v>62</v>
      </c>
      <c r="D25" s="10" t="s">
        <v>63</v>
      </c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 t="s">
        <v>64</v>
      </c>
      <c r="B26" s="5">
        <v>0.02</v>
      </c>
      <c r="C26" s="10" t="s">
        <v>65</v>
      </c>
      <c r="D26" s="10" t="s">
        <v>26</v>
      </c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 t="s">
        <v>66</v>
      </c>
      <c r="B27" s="5">
        <v>0.08</v>
      </c>
      <c r="C27" s="10" t="s">
        <v>67</v>
      </c>
      <c r="D27" s="10" t="s">
        <v>26</v>
      </c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 t="s">
        <v>68</v>
      </c>
      <c r="B28" s="5">
        <v>0.04</v>
      </c>
      <c r="C28" s="10" t="s">
        <v>69</v>
      </c>
      <c r="D28" s="10" t="s">
        <v>26</v>
      </c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10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2"/>
      <c r="C30" s="2"/>
      <c r="D30" s="10"/>
      <c r="E30" s="2"/>
      <c r="F30" s="2"/>
      <c r="G30" s="2"/>
      <c r="H30" s="2"/>
      <c r="I30" s="2"/>
      <c r="J30" s="2"/>
    </row>
  </sheetData>
  <mergeCells count="2">
    <mergeCell ref="A1:N1"/>
    <mergeCell ref="A9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2"/>
  <sheetViews>
    <sheetView tabSelected="1" workbookViewId="0">
      <selection activeCell="A18" sqref="A18"/>
    </sheetView>
  </sheetViews>
  <sheetFormatPr defaultRowHeight="14.25"/>
  <cols>
    <col min="1" max="1" width="43" customWidth="1"/>
    <col min="2" max="14" width="13" customWidth="1"/>
  </cols>
  <sheetData>
    <row r="1" spans="1:14" ht="24" customHeight="1">
      <c r="A1" s="63" t="s">
        <v>70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>
      <c r="A3" s="11" t="s">
        <v>71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</row>
    <row r="4" spans="1:14">
      <c r="A4" s="13" t="s">
        <v>72</v>
      </c>
      <c r="B4" s="14">
        <f>Assumptions!B$4*Assumptions!B$5</f>
        <v>4500</v>
      </c>
      <c r="C4" s="14">
        <f>Assumptions!C$4*Assumptions!C$5</f>
        <v>4500</v>
      </c>
      <c r="D4" s="14">
        <f>Assumptions!D$4*Assumptions!D$5</f>
        <v>4500</v>
      </c>
      <c r="E4" s="14">
        <f>Assumptions!E$4*Assumptions!E$5</f>
        <v>4500</v>
      </c>
      <c r="F4" s="14">
        <f>Assumptions!F$4*Assumptions!F$5</f>
        <v>4500</v>
      </c>
      <c r="G4" s="14">
        <f>Assumptions!G$4*Assumptions!G$5</f>
        <v>4500</v>
      </c>
      <c r="H4" s="14">
        <f>Assumptions!H$4*Assumptions!H$5</f>
        <v>4500</v>
      </c>
      <c r="I4" s="14">
        <f>Assumptions!I$4*Assumptions!I$5</f>
        <v>4500</v>
      </c>
      <c r="J4" s="14">
        <f>Assumptions!J$4*Assumptions!J$5</f>
        <v>4500</v>
      </c>
      <c r="K4" s="14">
        <f>Assumptions!K$4*Assumptions!K$5</f>
        <v>4500</v>
      </c>
      <c r="L4" s="14">
        <f>Assumptions!L$4*Assumptions!L$5</f>
        <v>4500</v>
      </c>
      <c r="M4" s="14">
        <f>Assumptions!M$4*Assumptions!M$5</f>
        <v>4500</v>
      </c>
      <c r="N4" s="14">
        <f>SUM(B4:M4)</f>
        <v>54000</v>
      </c>
    </row>
    <row r="5" spans="1:14">
      <c r="A5" s="13" t="s">
        <v>17</v>
      </c>
      <c r="B5" s="15">
        <f>Assumptions!B$6</f>
        <v>0.75</v>
      </c>
      <c r="C5" s="15">
        <f>Assumptions!C$6</f>
        <v>0.72</v>
      </c>
      <c r="D5" s="15">
        <f>Assumptions!D$6</f>
        <v>0.66</v>
      </c>
      <c r="E5" s="15">
        <f>Assumptions!E$6</f>
        <v>0.64</v>
      </c>
      <c r="F5" s="15">
        <f>Assumptions!F$6</f>
        <v>0.52</v>
      </c>
      <c r="G5" s="15">
        <f>Assumptions!G$6</f>
        <v>0.62</v>
      </c>
      <c r="H5" s="15">
        <f>Assumptions!H$6</f>
        <v>0.75</v>
      </c>
      <c r="I5" s="15">
        <f>Assumptions!I$6</f>
        <v>0.73</v>
      </c>
      <c r="J5" s="15">
        <f>Assumptions!J$6</f>
        <v>0.52</v>
      </c>
      <c r="K5" s="15">
        <f>Assumptions!K$6</f>
        <v>0.55000000000000004</v>
      </c>
      <c r="L5" s="15">
        <f>Assumptions!L$6</f>
        <v>0.68</v>
      </c>
      <c r="M5" s="15">
        <f>Assumptions!M$6</f>
        <v>0.66</v>
      </c>
      <c r="N5" s="15">
        <f>N6/N4</f>
        <v>0.65</v>
      </c>
    </row>
    <row r="6" spans="1:14">
      <c r="A6" s="13" t="s">
        <v>73</v>
      </c>
      <c r="B6" s="14">
        <f t="shared" ref="B6:M6" si="0">B4*B5</f>
        <v>3375</v>
      </c>
      <c r="C6" s="14">
        <f t="shared" si="0"/>
        <v>3240</v>
      </c>
      <c r="D6" s="14">
        <f t="shared" si="0"/>
        <v>2970</v>
      </c>
      <c r="E6" s="14">
        <f t="shared" si="0"/>
        <v>2880</v>
      </c>
      <c r="F6" s="14">
        <f t="shared" si="0"/>
        <v>2340</v>
      </c>
      <c r="G6" s="14">
        <f t="shared" si="0"/>
        <v>2790</v>
      </c>
      <c r="H6" s="14">
        <f t="shared" si="0"/>
        <v>3375</v>
      </c>
      <c r="I6" s="14">
        <f t="shared" si="0"/>
        <v>3285</v>
      </c>
      <c r="J6" s="14">
        <f t="shared" si="0"/>
        <v>2340</v>
      </c>
      <c r="K6" s="14">
        <f t="shared" si="0"/>
        <v>2475</v>
      </c>
      <c r="L6" s="14">
        <f t="shared" si="0"/>
        <v>3060</v>
      </c>
      <c r="M6" s="14">
        <f t="shared" si="0"/>
        <v>2970</v>
      </c>
      <c r="N6" s="14">
        <f>SUM(B6:M6)</f>
        <v>35100</v>
      </c>
    </row>
    <row r="7" spans="1:14">
      <c r="A7" s="13" t="s">
        <v>74</v>
      </c>
      <c r="B7" s="16">
        <f>Assumptions!B$7</f>
        <v>269.05</v>
      </c>
      <c r="C7" s="16">
        <f>Assumptions!C$7</f>
        <v>264.16000000000003</v>
      </c>
      <c r="D7" s="16">
        <f>Assumptions!D$7</f>
        <v>244.59</v>
      </c>
      <c r="E7" s="16">
        <f>Assumptions!E$7</f>
        <v>239.7</v>
      </c>
      <c r="F7" s="16">
        <f>Assumptions!F$7</f>
        <v>220.13</v>
      </c>
      <c r="G7" s="16">
        <f>Assumptions!G$7</f>
        <v>239.7</v>
      </c>
      <c r="H7" s="16">
        <f>Assumptions!H$7</f>
        <v>269.05</v>
      </c>
      <c r="I7" s="16">
        <f>Assumptions!I$7</f>
        <v>264.16000000000003</v>
      </c>
      <c r="J7" s="16">
        <f>Assumptions!J$7</f>
        <v>220.13</v>
      </c>
      <c r="K7" s="16">
        <f>Assumptions!K$7</f>
        <v>225.03</v>
      </c>
      <c r="L7" s="16">
        <f>Assumptions!L$7</f>
        <v>249.49</v>
      </c>
      <c r="M7" s="16">
        <f>Assumptions!M$7</f>
        <v>269.05</v>
      </c>
      <c r="N7" s="16">
        <f>N10/N6</f>
        <v>249.99824358974362</v>
      </c>
    </row>
    <row r="8" spans="1:14">
      <c r="A8" s="13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ht="15">
      <c r="A9" s="18" t="s">
        <v>75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</row>
    <row r="10" spans="1:14">
      <c r="A10" s="13" t="s">
        <v>76</v>
      </c>
      <c r="B10" s="16">
        <f t="shared" ref="B10:M10" si="1">B6*B7</f>
        <v>908043.75</v>
      </c>
      <c r="C10" s="16">
        <f t="shared" si="1"/>
        <v>855878.4</v>
      </c>
      <c r="D10" s="16">
        <f t="shared" si="1"/>
        <v>726432.3</v>
      </c>
      <c r="E10" s="16">
        <f t="shared" si="1"/>
        <v>690336</v>
      </c>
      <c r="F10" s="16">
        <f t="shared" si="1"/>
        <v>515104.2</v>
      </c>
      <c r="G10" s="16">
        <f t="shared" si="1"/>
        <v>668763</v>
      </c>
      <c r="H10" s="16">
        <f t="shared" si="1"/>
        <v>908043.75</v>
      </c>
      <c r="I10" s="16">
        <f t="shared" si="1"/>
        <v>867765.60000000009</v>
      </c>
      <c r="J10" s="16">
        <f t="shared" si="1"/>
        <v>515104.2</v>
      </c>
      <c r="K10" s="16">
        <f t="shared" si="1"/>
        <v>556949.25</v>
      </c>
      <c r="L10" s="16">
        <f t="shared" si="1"/>
        <v>763439.4</v>
      </c>
      <c r="M10" s="16">
        <f t="shared" si="1"/>
        <v>799078.5</v>
      </c>
      <c r="N10" s="16">
        <f>SUM(B10:M10)</f>
        <v>8774938.3500000015</v>
      </c>
    </row>
    <row r="11" spans="1:14">
      <c r="A11" s="13" t="s">
        <v>77</v>
      </c>
      <c r="B11" s="16">
        <f>B10*Assumptions!$B$11</f>
        <v>363217.5</v>
      </c>
      <c r="C11" s="16">
        <f>C10*Assumptions!$B$11</f>
        <v>342351.36000000004</v>
      </c>
      <c r="D11" s="16">
        <f>D10*Assumptions!$B$11</f>
        <v>290572.92000000004</v>
      </c>
      <c r="E11" s="16">
        <f>E10*Assumptions!$B$11</f>
        <v>276134.40000000002</v>
      </c>
      <c r="F11" s="16">
        <f>F10*Assumptions!$B$11</f>
        <v>206041.68000000002</v>
      </c>
      <c r="G11" s="16">
        <f>G10*Assumptions!$B$11</f>
        <v>267505.2</v>
      </c>
      <c r="H11" s="16">
        <f>H10*Assumptions!$B$11</f>
        <v>363217.5</v>
      </c>
      <c r="I11" s="16">
        <f>I10*Assumptions!$B$11</f>
        <v>347106.24000000005</v>
      </c>
      <c r="J11" s="16">
        <f>J10*Assumptions!$B$11</f>
        <v>206041.68000000002</v>
      </c>
      <c r="K11" s="16">
        <f>K10*Assumptions!$B$11</f>
        <v>222779.7</v>
      </c>
      <c r="L11" s="16">
        <f>L10*Assumptions!$B$11</f>
        <v>305375.76</v>
      </c>
      <c r="M11" s="16">
        <f>M10*Assumptions!$B$11</f>
        <v>319631.40000000002</v>
      </c>
      <c r="N11" s="16">
        <f>SUM(B11:M11)</f>
        <v>3509975.3400000003</v>
      </c>
    </row>
    <row r="12" spans="1:14">
      <c r="A12" s="13" t="s">
        <v>78</v>
      </c>
      <c r="B12" s="16">
        <f>B10*Assumptions!$B$12</f>
        <v>90804.375</v>
      </c>
      <c r="C12" s="16">
        <f>C10*Assumptions!$B$12</f>
        <v>85587.840000000011</v>
      </c>
      <c r="D12" s="16">
        <f>D10*Assumptions!$B$12</f>
        <v>72643.23000000001</v>
      </c>
      <c r="E12" s="16">
        <f>E10*Assumptions!$B$12</f>
        <v>69033.600000000006</v>
      </c>
      <c r="F12" s="16">
        <f>F10*Assumptions!$B$12</f>
        <v>51510.420000000006</v>
      </c>
      <c r="G12" s="16">
        <f>G10*Assumptions!$B$12</f>
        <v>66876.3</v>
      </c>
      <c r="H12" s="16">
        <f>H10*Assumptions!$B$12</f>
        <v>90804.375</v>
      </c>
      <c r="I12" s="16">
        <f>I10*Assumptions!$B$12</f>
        <v>86776.560000000012</v>
      </c>
      <c r="J12" s="16">
        <f>J10*Assumptions!$B$12</f>
        <v>51510.420000000006</v>
      </c>
      <c r="K12" s="16">
        <f>K10*Assumptions!$B$12</f>
        <v>55694.925000000003</v>
      </c>
      <c r="L12" s="16">
        <f>L10*Assumptions!$B$12</f>
        <v>76343.94</v>
      </c>
      <c r="M12" s="16">
        <f>M10*Assumptions!$B$12</f>
        <v>79907.850000000006</v>
      </c>
      <c r="N12" s="16">
        <f>SUM(B12:M12)</f>
        <v>877493.83500000008</v>
      </c>
    </row>
    <row r="13" spans="1:14">
      <c r="A13" s="13" t="s">
        <v>79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f>SUM(B13:M13)</f>
        <v>0</v>
      </c>
    </row>
    <row r="14" spans="1:14" ht="15">
      <c r="A14" s="20" t="s">
        <v>80</v>
      </c>
      <c r="B14" s="21">
        <f t="shared" ref="B14:M14" si="2">SUM(B10:B13)</f>
        <v>1362065.625</v>
      </c>
      <c r="C14" s="21">
        <f t="shared" si="2"/>
        <v>1283817.6000000001</v>
      </c>
      <c r="D14" s="21">
        <f t="shared" si="2"/>
        <v>1089648.4500000002</v>
      </c>
      <c r="E14" s="21">
        <f t="shared" si="2"/>
        <v>1035504</v>
      </c>
      <c r="F14" s="21">
        <f t="shared" si="2"/>
        <v>772656.3</v>
      </c>
      <c r="G14" s="21">
        <f t="shared" si="2"/>
        <v>1003144.5</v>
      </c>
      <c r="H14" s="21">
        <f t="shared" si="2"/>
        <v>1362065.625</v>
      </c>
      <c r="I14" s="21">
        <f t="shared" si="2"/>
        <v>1301648.4000000001</v>
      </c>
      <c r="J14" s="21">
        <f t="shared" si="2"/>
        <v>772656.3</v>
      </c>
      <c r="K14" s="21">
        <f t="shared" si="2"/>
        <v>835423.875</v>
      </c>
      <c r="L14" s="21">
        <f t="shared" si="2"/>
        <v>1145159.1000000001</v>
      </c>
      <c r="M14" s="21">
        <f t="shared" si="2"/>
        <v>1198617.75</v>
      </c>
      <c r="N14" s="21">
        <f>SUM(B14:M14)</f>
        <v>13162407.525</v>
      </c>
    </row>
    <row r="15" spans="1:14">
      <c r="A15" s="13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5">
      <c r="A16" s="18" t="s">
        <v>81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>
      <c r="A17" s="13" t="s">
        <v>82</v>
      </c>
      <c r="B17" s="16">
        <f>B10*Assumptions!$B$13</f>
        <v>127126.12500000001</v>
      </c>
      <c r="C17" s="16">
        <f>C10*Assumptions!$B$13</f>
        <v>119822.97600000001</v>
      </c>
      <c r="D17" s="16">
        <f>D10*Assumptions!$B$13</f>
        <v>101700.52200000001</v>
      </c>
      <c r="E17" s="16">
        <f>E10*Assumptions!$B$13</f>
        <v>96647.040000000008</v>
      </c>
      <c r="F17" s="16">
        <f>F10*Assumptions!$B$13</f>
        <v>72114.588000000003</v>
      </c>
      <c r="G17" s="16">
        <f>G10*Assumptions!$B$13</f>
        <v>93626.82</v>
      </c>
      <c r="H17" s="16">
        <f>H10*Assumptions!$B$13</f>
        <v>127126.12500000001</v>
      </c>
      <c r="I17" s="16">
        <f>I10*Assumptions!$B$13</f>
        <v>121487.18400000002</v>
      </c>
      <c r="J17" s="16">
        <f>J10*Assumptions!$B$13</f>
        <v>72114.588000000003</v>
      </c>
      <c r="K17" s="16">
        <f>K10*Assumptions!$B$13</f>
        <v>77972.895000000004</v>
      </c>
      <c r="L17" s="16">
        <f>L10*Assumptions!$B$13</f>
        <v>106881.51600000002</v>
      </c>
      <c r="M17" s="16">
        <f>M10*Assumptions!$B$13</f>
        <v>111870.99</v>
      </c>
      <c r="N17" s="16">
        <f>SUM(B17:M17)</f>
        <v>1228491.3689999999</v>
      </c>
    </row>
    <row r="18" spans="1:14">
      <c r="A18" t="s">
        <v>147</v>
      </c>
      <c r="B18" s="16">
        <f>B10*Assumptions!$B$14</f>
        <v>27241.3125</v>
      </c>
      <c r="C18" s="16">
        <f>C10*Assumptions!$B$14</f>
        <v>25676.351999999999</v>
      </c>
      <c r="D18" s="16">
        <f>D10*Assumptions!$B$14</f>
        <v>21792.969000000001</v>
      </c>
      <c r="E18" s="16">
        <f>E10*Assumptions!$B$14</f>
        <v>20710.079999999998</v>
      </c>
      <c r="F18" s="16">
        <f>F10*Assumptions!$B$14</f>
        <v>15453.126</v>
      </c>
      <c r="G18" s="16">
        <f>G10*Assumptions!$B$14</f>
        <v>20062.89</v>
      </c>
      <c r="H18" s="16">
        <f>H10*Assumptions!$B$14</f>
        <v>27241.3125</v>
      </c>
      <c r="I18" s="16">
        <f>I10*Assumptions!$B$14</f>
        <v>26032.968000000001</v>
      </c>
      <c r="J18" s="16">
        <f>J10*Assumptions!$B$14</f>
        <v>15453.126</v>
      </c>
      <c r="K18" s="16">
        <f>K10*Assumptions!$B$14</f>
        <v>16708.477500000001</v>
      </c>
      <c r="L18" s="16">
        <f>L10*Assumptions!$B$14</f>
        <v>22903.182000000001</v>
      </c>
      <c r="M18" s="16">
        <f>M10*Assumptions!$B$14</f>
        <v>23972.355</v>
      </c>
      <c r="N18" s="16">
        <f>SUM(B18:M18)</f>
        <v>263248.15049999999</v>
      </c>
    </row>
    <row r="19" spans="1:14">
      <c r="A19" s="13" t="s">
        <v>83</v>
      </c>
      <c r="B19" s="16">
        <f>B10*Assumptions!$B$15</f>
        <v>54482.625</v>
      </c>
      <c r="C19" s="16">
        <f>C10*Assumptions!$B$15</f>
        <v>51352.703999999998</v>
      </c>
      <c r="D19" s="16">
        <f>D10*Assumptions!$B$15</f>
        <v>43585.938000000002</v>
      </c>
      <c r="E19" s="16">
        <f>E10*Assumptions!$B$15</f>
        <v>41420.159999999996</v>
      </c>
      <c r="F19" s="16">
        <f>F10*Assumptions!$B$15</f>
        <v>30906.252</v>
      </c>
      <c r="G19" s="16">
        <f>G10*Assumptions!$B$15</f>
        <v>40125.78</v>
      </c>
      <c r="H19" s="16">
        <f>H10*Assumptions!$B$15</f>
        <v>54482.625</v>
      </c>
      <c r="I19" s="16">
        <f>I10*Assumptions!$B$15</f>
        <v>52065.936000000002</v>
      </c>
      <c r="J19" s="16">
        <f>J10*Assumptions!$B$15</f>
        <v>30906.252</v>
      </c>
      <c r="K19" s="16">
        <f>K10*Assumptions!$B$15</f>
        <v>33416.955000000002</v>
      </c>
      <c r="L19" s="16">
        <f>L10*Assumptions!$B$15</f>
        <v>45806.364000000001</v>
      </c>
      <c r="M19" s="16">
        <f>M10*Assumptions!$B$15</f>
        <v>47944.71</v>
      </c>
      <c r="N19" s="16">
        <f>SUM(B19:M19)</f>
        <v>526496.30099999998</v>
      </c>
    </row>
    <row r="20" spans="1:14" ht="15">
      <c r="A20" s="20" t="s">
        <v>84</v>
      </c>
      <c r="B20" s="21">
        <f t="shared" ref="B20:M20" si="3">SUM(B17:B19)</f>
        <v>208850.0625</v>
      </c>
      <c r="C20" s="21">
        <f t="shared" si="3"/>
        <v>196852.03200000001</v>
      </c>
      <c r="D20" s="21">
        <f t="shared" si="3"/>
        <v>167079.429</v>
      </c>
      <c r="E20" s="21">
        <f t="shared" si="3"/>
        <v>158777.28</v>
      </c>
      <c r="F20" s="21">
        <f t="shared" si="3"/>
        <v>118473.96600000001</v>
      </c>
      <c r="G20" s="21">
        <f t="shared" si="3"/>
        <v>153815.49</v>
      </c>
      <c r="H20" s="21">
        <f t="shared" si="3"/>
        <v>208850.0625</v>
      </c>
      <c r="I20" s="21">
        <f t="shared" si="3"/>
        <v>199586.08800000005</v>
      </c>
      <c r="J20" s="21">
        <f t="shared" si="3"/>
        <v>118473.96600000001</v>
      </c>
      <c r="K20" s="21">
        <f t="shared" si="3"/>
        <v>128098.3275</v>
      </c>
      <c r="L20" s="21">
        <f t="shared" si="3"/>
        <v>175591.06200000003</v>
      </c>
      <c r="M20" s="21">
        <f t="shared" si="3"/>
        <v>183788.05499999999</v>
      </c>
      <c r="N20" s="21">
        <f>SUM(B20:M20)</f>
        <v>2018235.8205000001</v>
      </c>
    </row>
    <row r="21" spans="1:14" ht="15">
      <c r="A21" s="20" t="s">
        <v>85</v>
      </c>
      <c r="B21" s="21">
        <f t="shared" ref="B21:M21" si="4">B10-B20</f>
        <v>699193.6875</v>
      </c>
      <c r="C21" s="21">
        <f t="shared" si="4"/>
        <v>659026.36800000002</v>
      </c>
      <c r="D21" s="21">
        <f t="shared" si="4"/>
        <v>559352.87100000004</v>
      </c>
      <c r="E21" s="21">
        <f t="shared" si="4"/>
        <v>531558.72</v>
      </c>
      <c r="F21" s="21">
        <f t="shared" si="4"/>
        <v>396630.234</v>
      </c>
      <c r="G21" s="21">
        <f t="shared" si="4"/>
        <v>514947.51</v>
      </c>
      <c r="H21" s="21">
        <f t="shared" si="4"/>
        <v>699193.6875</v>
      </c>
      <c r="I21" s="21">
        <f t="shared" si="4"/>
        <v>668179.5120000001</v>
      </c>
      <c r="J21" s="21">
        <f t="shared" si="4"/>
        <v>396630.234</v>
      </c>
      <c r="K21" s="21">
        <f t="shared" si="4"/>
        <v>428850.92249999999</v>
      </c>
      <c r="L21" s="21">
        <f t="shared" si="4"/>
        <v>587848.33799999999</v>
      </c>
      <c r="M21" s="21">
        <f t="shared" si="4"/>
        <v>615290.44500000007</v>
      </c>
      <c r="N21" s="21">
        <f>SUM(B21:M21)</f>
        <v>6756702.5295000002</v>
      </c>
    </row>
    <row r="22" spans="1:14">
      <c r="A22" s="22" t="s">
        <v>86</v>
      </c>
      <c r="B22" s="15">
        <f t="shared" ref="B22:N22" si="5">B21/B10</f>
        <v>0.77</v>
      </c>
      <c r="C22" s="15">
        <f t="shared" si="5"/>
        <v>0.77</v>
      </c>
      <c r="D22" s="15">
        <f t="shared" si="5"/>
        <v>0.77</v>
      </c>
      <c r="E22" s="15">
        <f t="shared" si="5"/>
        <v>0.76999999999999991</v>
      </c>
      <c r="F22" s="15">
        <f t="shared" si="5"/>
        <v>0.77</v>
      </c>
      <c r="G22" s="15">
        <f t="shared" si="5"/>
        <v>0.77</v>
      </c>
      <c r="H22" s="15">
        <f t="shared" si="5"/>
        <v>0.77</v>
      </c>
      <c r="I22" s="15">
        <f t="shared" si="5"/>
        <v>0.77</v>
      </c>
      <c r="J22" s="15">
        <f t="shared" si="5"/>
        <v>0.77</v>
      </c>
      <c r="K22" s="15">
        <f t="shared" si="5"/>
        <v>0.77</v>
      </c>
      <c r="L22" s="15">
        <f t="shared" si="5"/>
        <v>0.76999999999999991</v>
      </c>
      <c r="M22" s="15">
        <f t="shared" si="5"/>
        <v>0.77000000000000013</v>
      </c>
      <c r="N22" s="15">
        <f t="shared" si="5"/>
        <v>0.76999999999999991</v>
      </c>
    </row>
    <row r="23" spans="1:14">
      <c r="A23" s="13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1:14" ht="15">
      <c r="A24" s="18" t="s">
        <v>87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>
      <c r="A25" s="13" t="s">
        <v>88</v>
      </c>
      <c r="B25" s="16">
        <f>B11*Assumptions!$B$16</f>
        <v>108965.25</v>
      </c>
      <c r="C25" s="16">
        <f>C11*Assumptions!$B$16</f>
        <v>102705.40800000001</v>
      </c>
      <c r="D25" s="16">
        <f>D11*Assumptions!$B$16</f>
        <v>87171.876000000004</v>
      </c>
      <c r="E25" s="16">
        <f>E11*Assumptions!$B$16</f>
        <v>82840.320000000007</v>
      </c>
      <c r="F25" s="16">
        <f>F11*Assumptions!$B$16</f>
        <v>61812.504000000001</v>
      </c>
      <c r="G25" s="16">
        <f>G11*Assumptions!$B$16</f>
        <v>80251.56</v>
      </c>
      <c r="H25" s="16">
        <f>H11*Assumptions!$B$16</f>
        <v>108965.25</v>
      </c>
      <c r="I25" s="16">
        <f>I11*Assumptions!$B$16</f>
        <v>104131.87200000002</v>
      </c>
      <c r="J25" s="16">
        <f>J11*Assumptions!$B$16</f>
        <v>61812.504000000001</v>
      </c>
      <c r="K25" s="16">
        <f>K11*Assumptions!$B$16</f>
        <v>66833.91</v>
      </c>
      <c r="L25" s="16">
        <f>L11*Assumptions!$B$16</f>
        <v>91612.728000000003</v>
      </c>
      <c r="M25" s="16">
        <f>M11*Assumptions!$B$16</f>
        <v>95889.42</v>
      </c>
      <c r="N25" s="16">
        <f>SUM(B25:M25)</f>
        <v>1052992.602</v>
      </c>
    </row>
    <row r="26" spans="1:14">
      <c r="A26" s="13" t="s">
        <v>82</v>
      </c>
      <c r="B26" s="16">
        <f>B11*Assumptions!$B$17</f>
        <v>127126.12499999999</v>
      </c>
      <c r="C26" s="16">
        <f>C11*Assumptions!$B$17</f>
        <v>119822.97600000001</v>
      </c>
      <c r="D26" s="16">
        <f>D11*Assumptions!$B$17</f>
        <v>101700.52200000001</v>
      </c>
      <c r="E26" s="16">
        <f>E11*Assumptions!$B$17</f>
        <v>96647.040000000008</v>
      </c>
      <c r="F26" s="16">
        <f>F11*Assumptions!$B$17</f>
        <v>72114.588000000003</v>
      </c>
      <c r="G26" s="16">
        <f>G11*Assumptions!$B$17</f>
        <v>93626.819999999992</v>
      </c>
      <c r="H26" s="16">
        <f>H11*Assumptions!$B$17</f>
        <v>127126.12499999999</v>
      </c>
      <c r="I26" s="16">
        <f>I11*Assumptions!$B$17</f>
        <v>121487.18400000001</v>
      </c>
      <c r="J26" s="16">
        <f>J11*Assumptions!$B$17</f>
        <v>72114.588000000003</v>
      </c>
      <c r="K26" s="16">
        <f>K11*Assumptions!$B$17</f>
        <v>77972.895000000004</v>
      </c>
      <c r="L26" s="16">
        <f>L11*Assumptions!$B$17</f>
        <v>106881.516</v>
      </c>
      <c r="M26" s="16">
        <f>M11*Assumptions!$B$17</f>
        <v>111870.99</v>
      </c>
      <c r="N26" s="16">
        <f>SUM(B26:M26)</f>
        <v>1228491.3689999999</v>
      </c>
    </row>
    <row r="27" spans="1:14">
      <c r="A27" s="13" t="s">
        <v>83</v>
      </c>
      <c r="B27" s="16">
        <f>B11*Assumptions!$B$18</f>
        <v>45402.1875</v>
      </c>
      <c r="C27" s="16">
        <f>C11*Assumptions!$B$18</f>
        <v>42793.920000000006</v>
      </c>
      <c r="D27" s="16">
        <f>D11*Assumptions!$B$18</f>
        <v>36321.615000000005</v>
      </c>
      <c r="E27" s="16">
        <f>E11*Assumptions!$B$18</f>
        <v>34516.800000000003</v>
      </c>
      <c r="F27" s="16">
        <f>F11*Assumptions!$B$18</f>
        <v>25755.210000000003</v>
      </c>
      <c r="G27" s="16">
        <f>G11*Assumptions!$B$18</f>
        <v>33438.15</v>
      </c>
      <c r="H27" s="16">
        <f>H11*Assumptions!$B$18</f>
        <v>45402.1875</v>
      </c>
      <c r="I27" s="16">
        <f>I11*Assumptions!$B$18</f>
        <v>43388.280000000006</v>
      </c>
      <c r="J27" s="16">
        <f>J11*Assumptions!$B$18</f>
        <v>25755.210000000003</v>
      </c>
      <c r="K27" s="16">
        <f>K11*Assumptions!$B$18</f>
        <v>27847.462500000001</v>
      </c>
      <c r="L27" s="16">
        <f>L11*Assumptions!$B$18</f>
        <v>38171.97</v>
      </c>
      <c r="M27" s="16">
        <f>M11*Assumptions!$B$18</f>
        <v>39953.925000000003</v>
      </c>
      <c r="N27" s="16">
        <f>SUM(B27:M27)</f>
        <v>438746.91750000004</v>
      </c>
    </row>
    <row r="28" spans="1:14" ht="15">
      <c r="A28" s="20" t="s">
        <v>89</v>
      </c>
      <c r="B28" s="21">
        <f t="shared" ref="B28:M28" si="6">SUM(B25:B27)</f>
        <v>281493.5625</v>
      </c>
      <c r="C28" s="21">
        <f t="shared" si="6"/>
        <v>265322.304</v>
      </c>
      <c r="D28" s="21">
        <f t="shared" si="6"/>
        <v>225194.01300000004</v>
      </c>
      <c r="E28" s="21">
        <f t="shared" si="6"/>
        <v>214004.16000000003</v>
      </c>
      <c r="F28" s="21">
        <f t="shared" si="6"/>
        <v>159682.302</v>
      </c>
      <c r="G28" s="21">
        <f t="shared" si="6"/>
        <v>207316.53</v>
      </c>
      <c r="H28" s="21">
        <f t="shared" si="6"/>
        <v>281493.5625</v>
      </c>
      <c r="I28" s="21">
        <f t="shared" si="6"/>
        <v>269007.33600000007</v>
      </c>
      <c r="J28" s="21">
        <f t="shared" si="6"/>
        <v>159682.302</v>
      </c>
      <c r="K28" s="21">
        <f t="shared" si="6"/>
        <v>172654.26749999999</v>
      </c>
      <c r="L28" s="21">
        <f t="shared" si="6"/>
        <v>236666.21400000001</v>
      </c>
      <c r="M28" s="21">
        <f t="shared" si="6"/>
        <v>247714.33500000002</v>
      </c>
      <c r="N28" s="21">
        <f>SUM(B28:M28)</f>
        <v>2720230.8885000004</v>
      </c>
    </row>
    <row r="29" spans="1:14" ht="15">
      <c r="A29" s="20" t="s">
        <v>90</v>
      </c>
      <c r="B29" s="21">
        <f t="shared" ref="B29:M29" si="7">B11-B28</f>
        <v>81723.9375</v>
      </c>
      <c r="C29" s="21">
        <f t="shared" si="7"/>
        <v>77029.056000000041</v>
      </c>
      <c r="D29" s="21">
        <f t="shared" si="7"/>
        <v>65378.907000000007</v>
      </c>
      <c r="E29" s="21">
        <f t="shared" si="7"/>
        <v>62130.239999999991</v>
      </c>
      <c r="F29" s="21">
        <f t="shared" si="7"/>
        <v>46359.378000000026</v>
      </c>
      <c r="G29" s="21">
        <f t="shared" si="7"/>
        <v>60188.670000000013</v>
      </c>
      <c r="H29" s="21">
        <f t="shared" si="7"/>
        <v>81723.9375</v>
      </c>
      <c r="I29" s="21">
        <f t="shared" si="7"/>
        <v>78098.90399999998</v>
      </c>
      <c r="J29" s="21">
        <f t="shared" si="7"/>
        <v>46359.378000000026</v>
      </c>
      <c r="K29" s="21">
        <f t="shared" si="7"/>
        <v>50125.432500000024</v>
      </c>
      <c r="L29" s="21">
        <f t="shared" si="7"/>
        <v>68709.546000000002</v>
      </c>
      <c r="M29" s="21">
        <f t="shared" si="7"/>
        <v>71917.065000000002</v>
      </c>
      <c r="N29" s="21">
        <f>SUM(B29:M29)</f>
        <v>789744.45149999997</v>
      </c>
    </row>
    <row r="30" spans="1:14">
      <c r="A30" s="22" t="s">
        <v>91</v>
      </c>
      <c r="B30" s="15">
        <f t="shared" ref="B30:N30" si="8">B29/B11</f>
        <v>0.22500000000000001</v>
      </c>
      <c r="C30" s="15">
        <f t="shared" si="8"/>
        <v>0.22500000000000009</v>
      </c>
      <c r="D30" s="15">
        <f t="shared" si="8"/>
        <v>0.22499999999999998</v>
      </c>
      <c r="E30" s="15">
        <f t="shared" si="8"/>
        <v>0.22499999999999995</v>
      </c>
      <c r="F30" s="15">
        <f t="shared" si="8"/>
        <v>0.22500000000000009</v>
      </c>
      <c r="G30" s="15">
        <f t="shared" si="8"/>
        <v>0.22500000000000003</v>
      </c>
      <c r="H30" s="15">
        <f t="shared" si="8"/>
        <v>0.22500000000000001</v>
      </c>
      <c r="I30" s="15">
        <f t="shared" si="8"/>
        <v>0.22499999999999992</v>
      </c>
      <c r="J30" s="15">
        <f t="shared" si="8"/>
        <v>0.22500000000000009</v>
      </c>
      <c r="K30" s="15">
        <f t="shared" si="8"/>
        <v>0.22500000000000009</v>
      </c>
      <c r="L30" s="15">
        <f t="shared" si="8"/>
        <v>0.22500000000000001</v>
      </c>
      <c r="M30" s="15">
        <f t="shared" si="8"/>
        <v>0.22499999999999998</v>
      </c>
      <c r="N30" s="15">
        <f t="shared" si="8"/>
        <v>0.22499999999999998</v>
      </c>
    </row>
    <row r="31" spans="1:14">
      <c r="A31" s="13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1:14" ht="15">
      <c r="A32" s="18" t="s">
        <v>92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1:14">
      <c r="A33" s="13" t="s">
        <v>82</v>
      </c>
      <c r="B33" s="16">
        <f>B12*Assumptions!$B$19</f>
        <v>36321.75</v>
      </c>
      <c r="C33" s="16">
        <f>C12*Assumptions!$B$19</f>
        <v>34235.136000000006</v>
      </c>
      <c r="D33" s="16">
        <f>D12*Assumptions!$B$19</f>
        <v>29057.292000000005</v>
      </c>
      <c r="E33" s="16">
        <f>E12*Assumptions!$B$19</f>
        <v>27613.440000000002</v>
      </c>
      <c r="F33" s="16">
        <f>F12*Assumptions!$B$19</f>
        <v>20604.168000000005</v>
      </c>
      <c r="G33" s="16">
        <f>G12*Assumptions!$B$19</f>
        <v>26750.520000000004</v>
      </c>
      <c r="H33" s="16">
        <f>H12*Assumptions!$B$19</f>
        <v>36321.75</v>
      </c>
      <c r="I33" s="16">
        <f>I12*Assumptions!$B$19</f>
        <v>34710.624000000003</v>
      </c>
      <c r="J33" s="16">
        <f>J12*Assumptions!$B$19</f>
        <v>20604.168000000005</v>
      </c>
      <c r="K33" s="16">
        <f>K12*Assumptions!$B$19</f>
        <v>22277.97</v>
      </c>
      <c r="L33" s="16">
        <f>L12*Assumptions!$B$19</f>
        <v>30537.576000000001</v>
      </c>
      <c r="M33" s="16">
        <f>M12*Assumptions!$B$19</f>
        <v>31963.140000000003</v>
      </c>
      <c r="N33" s="16">
        <f>SUM(B33:M33)</f>
        <v>350997.5340000001</v>
      </c>
    </row>
    <row r="34" spans="1:14">
      <c r="A34" s="13" t="s">
        <v>83</v>
      </c>
      <c r="B34" s="16">
        <f>B12*Assumptions!$B$20</f>
        <v>20430.984375</v>
      </c>
      <c r="C34" s="16">
        <f>C12*Assumptions!$B$20</f>
        <v>19257.264000000003</v>
      </c>
      <c r="D34" s="16">
        <f>D12*Assumptions!$B$20</f>
        <v>16344.726750000003</v>
      </c>
      <c r="E34" s="16">
        <f>E12*Assumptions!$B$20</f>
        <v>15532.560000000001</v>
      </c>
      <c r="F34" s="16">
        <f>F12*Assumptions!$B$20</f>
        <v>11589.844500000001</v>
      </c>
      <c r="G34" s="16">
        <f>G12*Assumptions!$B$20</f>
        <v>15047.167500000001</v>
      </c>
      <c r="H34" s="16">
        <f>H12*Assumptions!$B$20</f>
        <v>20430.984375</v>
      </c>
      <c r="I34" s="16">
        <f>I12*Assumptions!$B$20</f>
        <v>19524.726000000002</v>
      </c>
      <c r="J34" s="16">
        <f>J12*Assumptions!$B$20</f>
        <v>11589.844500000001</v>
      </c>
      <c r="K34" s="16">
        <f>K12*Assumptions!$B$20</f>
        <v>12531.358125000001</v>
      </c>
      <c r="L34" s="16">
        <f>L12*Assumptions!$B$20</f>
        <v>17177.386500000001</v>
      </c>
      <c r="M34" s="16">
        <f>M12*Assumptions!$B$20</f>
        <v>17979.266250000001</v>
      </c>
      <c r="N34" s="16">
        <f>SUM(B34:M34)</f>
        <v>197436.11287499999</v>
      </c>
    </row>
    <row r="35" spans="1:14" ht="15">
      <c r="A35" s="20" t="s">
        <v>93</v>
      </c>
      <c r="B35" s="21">
        <f t="shared" ref="B35:M35" si="9">SUM(B33:B34)</f>
        <v>56752.734375</v>
      </c>
      <c r="C35" s="21">
        <f t="shared" si="9"/>
        <v>53492.400000000009</v>
      </c>
      <c r="D35" s="21">
        <f t="shared" si="9"/>
        <v>45402.01875000001</v>
      </c>
      <c r="E35" s="21">
        <f t="shared" si="9"/>
        <v>43146</v>
      </c>
      <c r="F35" s="21">
        <f t="shared" si="9"/>
        <v>32194.012500000004</v>
      </c>
      <c r="G35" s="21">
        <f t="shared" si="9"/>
        <v>41797.687500000007</v>
      </c>
      <c r="H35" s="21">
        <f t="shared" si="9"/>
        <v>56752.734375</v>
      </c>
      <c r="I35" s="21">
        <f t="shared" si="9"/>
        <v>54235.350000000006</v>
      </c>
      <c r="J35" s="21">
        <f t="shared" si="9"/>
        <v>32194.012500000004</v>
      </c>
      <c r="K35" s="21">
        <f t="shared" si="9"/>
        <v>34809.328125</v>
      </c>
      <c r="L35" s="21">
        <f t="shared" si="9"/>
        <v>47714.962500000001</v>
      </c>
      <c r="M35" s="21">
        <f t="shared" si="9"/>
        <v>49942.40625</v>
      </c>
      <c r="N35" s="21">
        <f>SUM(B35:M35)</f>
        <v>548433.64687500009</v>
      </c>
    </row>
    <row r="36" spans="1:14" ht="15">
      <c r="A36" s="20" t="s">
        <v>94</v>
      </c>
      <c r="B36" s="21">
        <f t="shared" ref="B36:M36" si="10">B12-B35</f>
        <v>34051.640625</v>
      </c>
      <c r="C36" s="21">
        <f t="shared" si="10"/>
        <v>32095.440000000002</v>
      </c>
      <c r="D36" s="21">
        <f t="shared" si="10"/>
        <v>27241.21125</v>
      </c>
      <c r="E36" s="21">
        <f t="shared" si="10"/>
        <v>25887.600000000006</v>
      </c>
      <c r="F36" s="21">
        <f t="shared" si="10"/>
        <v>19316.407500000001</v>
      </c>
      <c r="G36" s="21">
        <f t="shared" si="10"/>
        <v>25078.612499999996</v>
      </c>
      <c r="H36" s="21">
        <f t="shared" si="10"/>
        <v>34051.640625</v>
      </c>
      <c r="I36" s="21">
        <f t="shared" si="10"/>
        <v>32541.210000000006</v>
      </c>
      <c r="J36" s="21">
        <f t="shared" si="10"/>
        <v>19316.407500000001</v>
      </c>
      <c r="K36" s="21">
        <f t="shared" si="10"/>
        <v>20885.596875000003</v>
      </c>
      <c r="L36" s="21">
        <f t="shared" si="10"/>
        <v>28628.977500000001</v>
      </c>
      <c r="M36" s="21">
        <f t="shared" si="10"/>
        <v>29965.443750000006</v>
      </c>
      <c r="N36" s="21">
        <f>SUM(B36:M36)</f>
        <v>329060.18812499999</v>
      </c>
    </row>
    <row r="37" spans="1:14">
      <c r="A37" s="22" t="s">
        <v>95</v>
      </c>
      <c r="B37" s="15">
        <f t="shared" ref="B37:N37" si="11">B36/B12</f>
        <v>0.375</v>
      </c>
      <c r="C37" s="15">
        <f t="shared" si="11"/>
        <v>0.375</v>
      </c>
      <c r="D37" s="15">
        <f t="shared" si="11"/>
        <v>0.37499999999999994</v>
      </c>
      <c r="E37" s="15">
        <f t="shared" si="11"/>
        <v>0.37500000000000006</v>
      </c>
      <c r="F37" s="15">
        <f t="shared" si="11"/>
        <v>0.375</v>
      </c>
      <c r="G37" s="15">
        <f t="shared" si="11"/>
        <v>0.37499999999999994</v>
      </c>
      <c r="H37" s="15">
        <f t="shared" si="11"/>
        <v>0.375</v>
      </c>
      <c r="I37" s="15">
        <f t="shared" si="11"/>
        <v>0.375</v>
      </c>
      <c r="J37" s="15">
        <f t="shared" si="11"/>
        <v>0.375</v>
      </c>
      <c r="K37" s="15">
        <f t="shared" si="11"/>
        <v>0.37500000000000006</v>
      </c>
      <c r="L37" s="15">
        <f t="shared" si="11"/>
        <v>0.375</v>
      </c>
      <c r="M37" s="15">
        <f t="shared" si="11"/>
        <v>0.37500000000000006</v>
      </c>
      <c r="N37" s="15">
        <f t="shared" si="11"/>
        <v>0.37499999999999994</v>
      </c>
    </row>
    <row r="38" spans="1:14">
      <c r="A38" s="13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ht="15">
      <c r="A39" s="18" t="s">
        <v>96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1:14" ht="15">
      <c r="A40" s="20" t="s">
        <v>97</v>
      </c>
      <c r="B40" s="21">
        <f t="shared" ref="B40:M40" si="12">B20+B28+B35</f>
        <v>547096.359375</v>
      </c>
      <c r="C40" s="21">
        <f t="shared" si="12"/>
        <v>515666.73600000003</v>
      </c>
      <c r="D40" s="21">
        <f t="shared" si="12"/>
        <v>437675.46075000003</v>
      </c>
      <c r="E40" s="21">
        <f t="shared" si="12"/>
        <v>415927.44000000006</v>
      </c>
      <c r="F40" s="21">
        <f t="shared" si="12"/>
        <v>310350.28050000005</v>
      </c>
      <c r="G40" s="21">
        <f t="shared" si="12"/>
        <v>402929.70750000002</v>
      </c>
      <c r="H40" s="21">
        <f t="shared" si="12"/>
        <v>547096.359375</v>
      </c>
      <c r="I40" s="21">
        <f t="shared" si="12"/>
        <v>522828.77400000009</v>
      </c>
      <c r="J40" s="21">
        <f t="shared" si="12"/>
        <v>310350.28050000005</v>
      </c>
      <c r="K40" s="21">
        <f t="shared" si="12"/>
        <v>335561.92312499997</v>
      </c>
      <c r="L40" s="21">
        <f t="shared" si="12"/>
        <v>459972.23850000009</v>
      </c>
      <c r="M40" s="21">
        <f t="shared" si="12"/>
        <v>481444.79625000001</v>
      </c>
      <c r="N40" s="21">
        <f>SUM(B40:M40)</f>
        <v>5286900.3558749994</v>
      </c>
    </row>
    <row r="41" spans="1:14" ht="15">
      <c r="A41" s="20" t="s">
        <v>98</v>
      </c>
      <c r="B41" s="21">
        <f t="shared" ref="B41:M41" si="13">B14-B40</f>
        <v>814969.265625</v>
      </c>
      <c r="C41" s="21">
        <f t="shared" si="13"/>
        <v>768150.86400000006</v>
      </c>
      <c r="D41" s="21">
        <f t="shared" si="13"/>
        <v>651972.9892500001</v>
      </c>
      <c r="E41" s="21">
        <f t="shared" si="13"/>
        <v>619576.55999999994</v>
      </c>
      <c r="F41" s="21">
        <f t="shared" si="13"/>
        <v>462306.01949999999</v>
      </c>
      <c r="G41" s="21">
        <f t="shared" si="13"/>
        <v>600214.79249999998</v>
      </c>
      <c r="H41" s="21">
        <f t="shared" si="13"/>
        <v>814969.265625</v>
      </c>
      <c r="I41" s="21">
        <f t="shared" si="13"/>
        <v>778819.62600000005</v>
      </c>
      <c r="J41" s="21">
        <f t="shared" si="13"/>
        <v>462306.01949999999</v>
      </c>
      <c r="K41" s="21">
        <f t="shared" si="13"/>
        <v>499861.95187500003</v>
      </c>
      <c r="L41" s="21">
        <f t="shared" si="13"/>
        <v>685186.8615</v>
      </c>
      <c r="M41" s="21">
        <f t="shared" si="13"/>
        <v>717172.95374999999</v>
      </c>
      <c r="N41" s="21">
        <f>SUM(B41:M41)</f>
        <v>7875507.1691250009</v>
      </c>
    </row>
    <row r="42" spans="1:14">
      <c r="A42" s="22" t="s">
        <v>99</v>
      </c>
      <c r="B42" s="15">
        <f t="shared" ref="B42:N42" si="14">B41/B14</f>
        <v>0.59833333333333338</v>
      </c>
      <c r="C42" s="15">
        <f t="shared" si="14"/>
        <v>0.59833333333333338</v>
      </c>
      <c r="D42" s="15">
        <f t="shared" si="14"/>
        <v>0.59833333333333327</v>
      </c>
      <c r="E42" s="15">
        <f t="shared" si="14"/>
        <v>0.59833333333333327</v>
      </c>
      <c r="F42" s="15">
        <f t="shared" si="14"/>
        <v>0.59833333333333327</v>
      </c>
      <c r="G42" s="15">
        <f t="shared" si="14"/>
        <v>0.59833333333333327</v>
      </c>
      <c r="H42" s="15">
        <f t="shared" si="14"/>
        <v>0.59833333333333338</v>
      </c>
      <c r="I42" s="15">
        <f t="shared" si="14"/>
        <v>0.59833333333333327</v>
      </c>
      <c r="J42" s="15">
        <f t="shared" si="14"/>
        <v>0.59833333333333327</v>
      </c>
      <c r="K42" s="15">
        <f t="shared" si="14"/>
        <v>0.59833333333333338</v>
      </c>
      <c r="L42" s="15">
        <f t="shared" si="14"/>
        <v>0.59833333333333327</v>
      </c>
      <c r="M42" s="15">
        <f t="shared" si="14"/>
        <v>0.59833333333333327</v>
      </c>
      <c r="N42" s="15">
        <f t="shared" si="14"/>
        <v>0.59833333333333338</v>
      </c>
    </row>
    <row r="43" spans="1:14">
      <c r="A43" s="13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 ht="15">
      <c r="A44" s="18" t="s">
        <v>100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>
      <c r="A45" s="13" t="s">
        <v>101</v>
      </c>
      <c r="B45" s="16">
        <f>B14*Assumptions!$B$21</f>
        <v>122585.90625</v>
      </c>
      <c r="C45" s="16">
        <f>C14*Assumptions!$B$21</f>
        <v>115543.584</v>
      </c>
      <c r="D45" s="16">
        <f>D14*Assumptions!$B$21</f>
        <v>98068.36050000001</v>
      </c>
      <c r="E45" s="16">
        <f>E14*Assumptions!$B$21</f>
        <v>93195.36</v>
      </c>
      <c r="F45" s="16">
        <f>F14*Assumptions!$B$21</f>
        <v>69539.066999999995</v>
      </c>
      <c r="G45" s="16">
        <f>G14*Assumptions!$B$21</f>
        <v>90283.00499999999</v>
      </c>
      <c r="H45" s="16">
        <f>H14*Assumptions!$B$21</f>
        <v>122585.90625</v>
      </c>
      <c r="I45" s="16">
        <f>I14*Assumptions!$B$21</f>
        <v>117148.35600000001</v>
      </c>
      <c r="J45" s="16">
        <f>J14*Assumptions!$B$21</f>
        <v>69539.066999999995</v>
      </c>
      <c r="K45" s="16">
        <f>K14*Assumptions!$B$21</f>
        <v>75188.148749999993</v>
      </c>
      <c r="L45" s="16">
        <f>L14*Assumptions!$B$21</f>
        <v>103064.319</v>
      </c>
      <c r="M45" s="16">
        <f>M14*Assumptions!$B$21</f>
        <v>107875.59749999999</v>
      </c>
      <c r="N45" s="16">
        <f t="shared" ref="N45:N50" si="15">SUM(B45:M45)</f>
        <v>1184616.6772499997</v>
      </c>
    </row>
    <row r="46" spans="1:14">
      <c r="A46" s="13" t="s">
        <v>102</v>
      </c>
      <c r="B46" s="16">
        <f>B14*Assumptions!$B$22</f>
        <v>20430.984375</v>
      </c>
      <c r="C46" s="16">
        <f>C14*Assumptions!$B$22</f>
        <v>19257.263999999999</v>
      </c>
      <c r="D46" s="16">
        <f>D14*Assumptions!$B$22</f>
        <v>16344.726750000002</v>
      </c>
      <c r="E46" s="16">
        <f>E14*Assumptions!$B$22</f>
        <v>15532.56</v>
      </c>
      <c r="F46" s="16">
        <f>F14*Assumptions!$B$22</f>
        <v>11589.844500000001</v>
      </c>
      <c r="G46" s="16">
        <f>G14*Assumptions!$B$22</f>
        <v>15047.1675</v>
      </c>
      <c r="H46" s="16">
        <f>H14*Assumptions!$B$22</f>
        <v>20430.984375</v>
      </c>
      <c r="I46" s="16">
        <f>I14*Assumptions!$B$22</f>
        <v>19524.726000000002</v>
      </c>
      <c r="J46" s="16">
        <f>J14*Assumptions!$B$22</f>
        <v>11589.844500000001</v>
      </c>
      <c r="K46" s="16">
        <f>K14*Assumptions!$B$22</f>
        <v>12531.358124999999</v>
      </c>
      <c r="L46" s="16">
        <f>L14*Assumptions!$B$22</f>
        <v>17177.386500000001</v>
      </c>
      <c r="M46" s="16">
        <f>M14*Assumptions!$B$22</f>
        <v>17979.266250000001</v>
      </c>
      <c r="N46" s="16">
        <f t="shared" si="15"/>
        <v>197436.11287499999</v>
      </c>
    </row>
    <row r="47" spans="1:14">
      <c r="A47" s="13" t="s">
        <v>103</v>
      </c>
      <c r="B47" s="16">
        <f>B14*Assumptions!$B$23</f>
        <v>108965.25</v>
      </c>
      <c r="C47" s="16">
        <f>C14*Assumptions!$B$23</f>
        <v>102705.40800000001</v>
      </c>
      <c r="D47" s="16">
        <f>D14*Assumptions!$B$23</f>
        <v>87171.876000000018</v>
      </c>
      <c r="E47" s="16">
        <f>E14*Assumptions!$B$23</f>
        <v>82840.320000000007</v>
      </c>
      <c r="F47" s="16">
        <f>F14*Assumptions!$B$23</f>
        <v>61812.504000000008</v>
      </c>
      <c r="G47" s="16">
        <f>G14*Assumptions!$B$23</f>
        <v>80251.56</v>
      </c>
      <c r="H47" s="16">
        <f>H14*Assumptions!$B$23</f>
        <v>108965.25</v>
      </c>
      <c r="I47" s="16">
        <f>I14*Assumptions!$B$23</f>
        <v>104131.87200000002</v>
      </c>
      <c r="J47" s="16">
        <f>J14*Assumptions!$B$23</f>
        <v>61812.504000000008</v>
      </c>
      <c r="K47" s="16">
        <f>K14*Assumptions!$B$23</f>
        <v>66833.91</v>
      </c>
      <c r="L47" s="16">
        <f>L14*Assumptions!$B$23</f>
        <v>91612.728000000003</v>
      </c>
      <c r="M47" s="16">
        <f>M14*Assumptions!$B$23</f>
        <v>95889.42</v>
      </c>
      <c r="N47" s="16">
        <f t="shared" si="15"/>
        <v>1052992.602</v>
      </c>
    </row>
    <row r="48" spans="1:14">
      <c r="A48" s="13" t="s">
        <v>104</v>
      </c>
      <c r="B48" s="16">
        <f>B14*Assumptions!$B$24</f>
        <v>61292.953125</v>
      </c>
      <c r="C48" s="16">
        <f>C14*Assumptions!$B$24</f>
        <v>57771.792000000001</v>
      </c>
      <c r="D48" s="16">
        <f>D14*Assumptions!$B$24</f>
        <v>49034.180250000005</v>
      </c>
      <c r="E48" s="16">
        <f>E14*Assumptions!$B$24</f>
        <v>46597.68</v>
      </c>
      <c r="F48" s="16">
        <f>F14*Assumptions!$B$24</f>
        <v>34769.533499999998</v>
      </c>
      <c r="G48" s="16">
        <f>G14*Assumptions!$B$24</f>
        <v>45141.502499999995</v>
      </c>
      <c r="H48" s="16">
        <f>H14*Assumptions!$B$24</f>
        <v>61292.953125</v>
      </c>
      <c r="I48" s="16">
        <f>I14*Assumptions!$B$24</f>
        <v>58574.178000000007</v>
      </c>
      <c r="J48" s="16">
        <f>J14*Assumptions!$B$24</f>
        <v>34769.533499999998</v>
      </c>
      <c r="K48" s="16">
        <f>K14*Assumptions!$B$24</f>
        <v>37594.074374999997</v>
      </c>
      <c r="L48" s="16">
        <f>L14*Assumptions!$B$24</f>
        <v>51532.159500000002</v>
      </c>
      <c r="M48" s="16">
        <f>M14*Assumptions!$B$24</f>
        <v>53937.798749999994</v>
      </c>
      <c r="N48" s="16">
        <f t="shared" si="15"/>
        <v>592308.33862499986</v>
      </c>
    </row>
    <row r="49" spans="1:14">
      <c r="A49" s="13" t="s">
        <v>105</v>
      </c>
      <c r="B49" s="16">
        <f>B14*Assumptions!$B$25</f>
        <v>74913.609375</v>
      </c>
      <c r="C49" s="16">
        <f>C14*Assumptions!$B$25</f>
        <v>70609.968000000008</v>
      </c>
      <c r="D49" s="16">
        <f>D14*Assumptions!$B$25</f>
        <v>59930.664750000011</v>
      </c>
      <c r="E49" s="16">
        <f>E14*Assumptions!$B$25</f>
        <v>56952.72</v>
      </c>
      <c r="F49" s="16">
        <f>F14*Assumptions!$B$25</f>
        <v>42496.0965</v>
      </c>
      <c r="G49" s="16">
        <f>G14*Assumptions!$B$25</f>
        <v>55172.947500000002</v>
      </c>
      <c r="H49" s="16">
        <f>H14*Assumptions!$B$25</f>
        <v>74913.609375</v>
      </c>
      <c r="I49" s="16">
        <f>I14*Assumptions!$B$25</f>
        <v>71590.662000000011</v>
      </c>
      <c r="J49" s="16">
        <f>J14*Assumptions!$B$25</f>
        <v>42496.0965</v>
      </c>
      <c r="K49" s="16">
        <f>K14*Assumptions!$B$25</f>
        <v>45948.313125000001</v>
      </c>
      <c r="L49" s="16">
        <f>L14*Assumptions!$B$25</f>
        <v>62983.750500000002</v>
      </c>
      <c r="M49" s="16">
        <f>M14*Assumptions!$B$25</f>
        <v>65923.976250000007</v>
      </c>
      <c r="N49" s="16">
        <f t="shared" si="15"/>
        <v>723932.41387499985</v>
      </c>
    </row>
    <row r="50" spans="1:14" ht="15">
      <c r="A50" s="20" t="s">
        <v>106</v>
      </c>
      <c r="B50" s="21">
        <f t="shared" ref="B50:M50" si="16">SUM(B45:B49)</f>
        <v>388188.703125</v>
      </c>
      <c r="C50" s="21">
        <f t="shared" si="16"/>
        <v>365888.016</v>
      </c>
      <c r="D50" s="21">
        <f t="shared" si="16"/>
        <v>310549.80825000006</v>
      </c>
      <c r="E50" s="21">
        <f t="shared" si="16"/>
        <v>295118.64</v>
      </c>
      <c r="F50" s="21">
        <f t="shared" si="16"/>
        <v>220207.04550000001</v>
      </c>
      <c r="G50" s="21">
        <f t="shared" si="16"/>
        <v>285896.1825</v>
      </c>
      <c r="H50" s="21">
        <f t="shared" si="16"/>
        <v>388188.703125</v>
      </c>
      <c r="I50" s="21">
        <f t="shared" si="16"/>
        <v>370969.79400000005</v>
      </c>
      <c r="J50" s="21">
        <f t="shared" si="16"/>
        <v>220207.04550000001</v>
      </c>
      <c r="K50" s="21">
        <f t="shared" si="16"/>
        <v>238095.80437500001</v>
      </c>
      <c r="L50" s="21">
        <f t="shared" si="16"/>
        <v>326370.34350000002</v>
      </c>
      <c r="M50" s="21">
        <f t="shared" si="16"/>
        <v>341606.05875000003</v>
      </c>
      <c r="N50" s="21">
        <f t="shared" si="15"/>
        <v>3751286.1446250002</v>
      </c>
    </row>
    <row r="51" spans="1:14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>
      <c r="A52" s="23" t="s">
        <v>107</v>
      </c>
      <c r="B52" s="24">
        <f t="shared" ref="B52:M52" si="17">B41-B50</f>
        <v>426780.5625</v>
      </c>
      <c r="C52" s="24">
        <f t="shared" si="17"/>
        <v>402262.84800000006</v>
      </c>
      <c r="D52" s="24">
        <f t="shared" si="17"/>
        <v>341423.18100000004</v>
      </c>
      <c r="E52" s="24">
        <f t="shared" si="17"/>
        <v>324457.91999999993</v>
      </c>
      <c r="F52" s="24">
        <f t="shared" si="17"/>
        <v>242098.97399999999</v>
      </c>
      <c r="G52" s="24">
        <f t="shared" si="17"/>
        <v>314318.61</v>
      </c>
      <c r="H52" s="24">
        <f t="shared" si="17"/>
        <v>426780.5625</v>
      </c>
      <c r="I52" s="24">
        <f t="shared" si="17"/>
        <v>407849.83199999999</v>
      </c>
      <c r="J52" s="24">
        <f t="shared" si="17"/>
        <v>242098.97399999999</v>
      </c>
      <c r="K52" s="24">
        <f t="shared" si="17"/>
        <v>261766.14750000002</v>
      </c>
      <c r="L52" s="24">
        <f t="shared" si="17"/>
        <v>358816.51799999998</v>
      </c>
      <c r="M52" s="24">
        <f t="shared" si="17"/>
        <v>375566.89499999996</v>
      </c>
      <c r="N52" s="24">
        <f>SUM(B52:M52)</f>
        <v>4124221.0244999998</v>
      </c>
    </row>
    <row r="53" spans="1:14">
      <c r="A53" s="22" t="s">
        <v>108</v>
      </c>
      <c r="B53" s="15">
        <f t="shared" ref="B53:N53" si="18">B52/B14</f>
        <v>0.31333333333333335</v>
      </c>
      <c r="C53" s="15">
        <f t="shared" si="18"/>
        <v>0.31333333333333335</v>
      </c>
      <c r="D53" s="15">
        <f t="shared" si="18"/>
        <v>0.3133333333333333</v>
      </c>
      <c r="E53" s="15">
        <f t="shared" si="18"/>
        <v>0.31333333333333324</v>
      </c>
      <c r="F53" s="15">
        <f t="shared" si="18"/>
        <v>0.3133333333333333</v>
      </c>
      <c r="G53" s="15">
        <f t="shared" si="18"/>
        <v>0.3133333333333333</v>
      </c>
      <c r="H53" s="15">
        <f t="shared" si="18"/>
        <v>0.31333333333333335</v>
      </c>
      <c r="I53" s="15">
        <f t="shared" si="18"/>
        <v>0.3133333333333333</v>
      </c>
      <c r="J53" s="15">
        <f t="shared" si="18"/>
        <v>0.3133333333333333</v>
      </c>
      <c r="K53" s="15">
        <f t="shared" si="18"/>
        <v>0.31333333333333335</v>
      </c>
      <c r="L53" s="15">
        <f t="shared" si="18"/>
        <v>0.3133333333333333</v>
      </c>
      <c r="M53" s="15">
        <f t="shared" si="18"/>
        <v>0.3133333333333333</v>
      </c>
      <c r="N53" s="15">
        <f t="shared" si="18"/>
        <v>0.3133333333333333</v>
      </c>
    </row>
    <row r="54" spans="1:14">
      <c r="A54" s="13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 ht="15">
      <c r="A55" s="18" t="s">
        <v>109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</row>
    <row r="56" spans="1:14">
      <c r="A56" s="13" t="s">
        <v>110</v>
      </c>
      <c r="B56" s="16">
        <f>B14*Assumptions!$B$26</f>
        <v>27241.3125</v>
      </c>
      <c r="C56" s="16">
        <f>C14*Assumptions!$B$26</f>
        <v>25676.352000000003</v>
      </c>
      <c r="D56" s="16">
        <f>D14*Assumptions!$B$26</f>
        <v>21792.969000000005</v>
      </c>
      <c r="E56" s="16">
        <f>E14*Assumptions!$B$26</f>
        <v>20710.080000000002</v>
      </c>
      <c r="F56" s="16">
        <f>F14*Assumptions!$B$26</f>
        <v>15453.126000000002</v>
      </c>
      <c r="G56" s="16">
        <f>G14*Assumptions!$B$26</f>
        <v>20062.89</v>
      </c>
      <c r="H56" s="16">
        <f>H14*Assumptions!$B$26</f>
        <v>27241.3125</v>
      </c>
      <c r="I56" s="16">
        <f>I14*Assumptions!$B$26</f>
        <v>26032.968000000004</v>
      </c>
      <c r="J56" s="16">
        <f>J14*Assumptions!$B$26</f>
        <v>15453.126000000002</v>
      </c>
      <c r="K56" s="16">
        <f>K14*Assumptions!$B$26</f>
        <v>16708.477500000001</v>
      </c>
      <c r="L56" s="16">
        <f>L14*Assumptions!$B$26</f>
        <v>22903.182000000001</v>
      </c>
      <c r="M56" s="16">
        <f>M14*Assumptions!$B$26</f>
        <v>23972.355</v>
      </c>
      <c r="N56" s="16">
        <f>SUM(B56:M56)</f>
        <v>263248.15049999999</v>
      </c>
    </row>
    <row r="57" spans="1:14">
      <c r="A57" s="13" t="s">
        <v>111</v>
      </c>
      <c r="B57" s="16">
        <f>B52*Assumptions!$B$27</f>
        <v>34142.445</v>
      </c>
      <c r="C57" s="16">
        <f>C52*Assumptions!$B$27</f>
        <v>32181.027840000006</v>
      </c>
      <c r="D57" s="16">
        <f>D52*Assumptions!$B$27</f>
        <v>27313.854480000005</v>
      </c>
      <c r="E57" s="16">
        <f>E52*Assumptions!$B$27</f>
        <v>25956.633599999994</v>
      </c>
      <c r="F57" s="16">
        <f>F52*Assumptions!$B$27</f>
        <v>19367.91792</v>
      </c>
      <c r="G57" s="16">
        <f>G52*Assumptions!$B$27</f>
        <v>25145.488799999999</v>
      </c>
      <c r="H57" s="16">
        <f>H52*Assumptions!$B$27</f>
        <v>34142.445</v>
      </c>
      <c r="I57" s="16">
        <f>I52*Assumptions!$B$27</f>
        <v>32627.986560000001</v>
      </c>
      <c r="J57" s="16">
        <f>J52*Assumptions!$B$27</f>
        <v>19367.91792</v>
      </c>
      <c r="K57" s="16">
        <f>K52*Assumptions!$B$27</f>
        <v>20941.291800000003</v>
      </c>
      <c r="L57" s="16">
        <f>L52*Assumptions!$B$27</f>
        <v>28705.32144</v>
      </c>
      <c r="M57" s="16">
        <f>M52*Assumptions!$B$27</f>
        <v>30045.351599999998</v>
      </c>
      <c r="N57" s="16">
        <f>SUM(B57:M57)</f>
        <v>329937.68196000002</v>
      </c>
    </row>
    <row r="58" spans="1:14">
      <c r="A58" s="13" t="s">
        <v>112</v>
      </c>
      <c r="B58" s="16">
        <f>B14*Assumptions!$B$28</f>
        <v>54482.625</v>
      </c>
      <c r="C58" s="16">
        <f>C14*Assumptions!$B$28</f>
        <v>51352.704000000005</v>
      </c>
      <c r="D58" s="16">
        <f>D14*Assumptions!$B$28</f>
        <v>43585.938000000009</v>
      </c>
      <c r="E58" s="16">
        <f>E14*Assumptions!$B$28</f>
        <v>41420.160000000003</v>
      </c>
      <c r="F58" s="16">
        <f>F14*Assumptions!$B$28</f>
        <v>30906.252000000004</v>
      </c>
      <c r="G58" s="16">
        <f>G14*Assumptions!$B$28</f>
        <v>40125.78</v>
      </c>
      <c r="H58" s="16">
        <f>H14*Assumptions!$B$28</f>
        <v>54482.625</v>
      </c>
      <c r="I58" s="16">
        <f>I14*Assumptions!$B$28</f>
        <v>52065.936000000009</v>
      </c>
      <c r="J58" s="16">
        <f>J14*Assumptions!$B$28</f>
        <v>30906.252000000004</v>
      </c>
      <c r="K58" s="16">
        <f>K14*Assumptions!$B$28</f>
        <v>33416.955000000002</v>
      </c>
      <c r="L58" s="16">
        <f>L14*Assumptions!$B$28</f>
        <v>45806.364000000001</v>
      </c>
      <c r="M58" s="16">
        <f>M14*Assumptions!$B$28</f>
        <v>47944.71</v>
      </c>
      <c r="N58" s="16">
        <f>SUM(B58:M58)</f>
        <v>526496.30099999998</v>
      </c>
    </row>
    <row r="59" spans="1:14">
      <c r="A59" s="13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 ht="15">
      <c r="A60" s="25" t="s">
        <v>113</v>
      </c>
      <c r="B60" s="26">
        <f t="shared" ref="B60:M60" si="19">B52-B56-B57-B58</f>
        <v>310914.18</v>
      </c>
      <c r="C60" s="26">
        <f t="shared" si="19"/>
        <v>293052.76416000002</v>
      </c>
      <c r="D60" s="26">
        <f t="shared" si="19"/>
        <v>248730.41952000005</v>
      </c>
      <c r="E60" s="26">
        <f t="shared" si="19"/>
        <v>236371.0463999999</v>
      </c>
      <c r="F60" s="26">
        <f t="shared" si="19"/>
        <v>176371.67807999998</v>
      </c>
      <c r="G60" s="26">
        <f t="shared" si="19"/>
        <v>228984.45119999998</v>
      </c>
      <c r="H60" s="26">
        <f t="shared" si="19"/>
        <v>310914.18</v>
      </c>
      <c r="I60" s="26">
        <f t="shared" si="19"/>
        <v>297122.94144000002</v>
      </c>
      <c r="J60" s="26">
        <f t="shared" si="19"/>
        <v>176371.67807999998</v>
      </c>
      <c r="K60" s="26">
        <f t="shared" si="19"/>
        <v>190699.42320000002</v>
      </c>
      <c r="L60" s="26">
        <f t="shared" si="19"/>
        <v>261401.65056000004</v>
      </c>
      <c r="M60" s="26">
        <f t="shared" si="19"/>
        <v>273604.47839999996</v>
      </c>
      <c r="N60" s="26">
        <f>SUM(B60:M60)</f>
        <v>3004538.8910399997</v>
      </c>
    </row>
    <row r="61" spans="1:14">
      <c r="A61" s="22" t="s">
        <v>114</v>
      </c>
      <c r="B61" s="15">
        <f t="shared" ref="B61:N61" si="20">B60/B14</f>
        <v>0.22826666666666667</v>
      </c>
      <c r="C61" s="15">
        <f t="shared" si="20"/>
        <v>0.22826666666666667</v>
      </c>
      <c r="D61" s="15">
        <f t="shared" si="20"/>
        <v>0.22826666666666667</v>
      </c>
      <c r="E61" s="15">
        <f t="shared" si="20"/>
        <v>0.22826666666666656</v>
      </c>
      <c r="F61" s="15">
        <f t="shared" si="20"/>
        <v>0.22826666666666662</v>
      </c>
      <c r="G61" s="15">
        <f t="shared" si="20"/>
        <v>0.22826666666666665</v>
      </c>
      <c r="H61" s="15">
        <f t="shared" si="20"/>
        <v>0.22826666666666667</v>
      </c>
      <c r="I61" s="15">
        <f t="shared" si="20"/>
        <v>0.22826666666666667</v>
      </c>
      <c r="J61" s="15">
        <f t="shared" si="20"/>
        <v>0.22826666666666662</v>
      </c>
      <c r="K61" s="15">
        <f t="shared" si="20"/>
        <v>0.2282666666666667</v>
      </c>
      <c r="L61" s="15">
        <f t="shared" si="20"/>
        <v>0.22826666666666667</v>
      </c>
      <c r="M61" s="15">
        <f t="shared" si="20"/>
        <v>0.22826666666666665</v>
      </c>
      <c r="N61" s="15">
        <f t="shared" si="20"/>
        <v>0.22826666666666665</v>
      </c>
    </row>
    <row r="62" spans="1:1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8"/>
  <sheetViews>
    <sheetView topLeftCell="A37" workbookViewId="0">
      <selection activeCell="E48" sqref="E48"/>
    </sheetView>
  </sheetViews>
  <sheetFormatPr defaultRowHeight="14.25"/>
  <cols>
    <col min="1" max="1" width="25.75" customWidth="1"/>
    <col min="2" max="7" width="12" customWidth="1"/>
    <col min="8" max="8" width="24" customWidth="1"/>
    <col min="9" max="14" width="12" customWidth="1"/>
    <col min="16" max="22" width="13" customWidth="1"/>
  </cols>
  <sheetData>
    <row r="1" spans="1:22" ht="32.1" customHeight="1">
      <c r="A1" s="56" t="s">
        <v>115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P1" s="30" t="s">
        <v>116</v>
      </c>
      <c r="Q1" s="30" t="s">
        <v>117</v>
      </c>
      <c r="R1" s="30" t="s">
        <v>118</v>
      </c>
      <c r="S1" s="30" t="s">
        <v>119</v>
      </c>
      <c r="T1" s="30"/>
      <c r="U1" s="30"/>
      <c r="V1" s="30"/>
    </row>
    <row r="2" spans="1:22" ht="20.100000000000001" customHeight="1">
      <c r="A2" s="57" t="s">
        <v>80</v>
      </c>
      <c r="B2" s="57"/>
      <c r="C2" s="57"/>
      <c r="D2" s="57" t="s">
        <v>17</v>
      </c>
      <c r="E2" s="57"/>
      <c r="F2" s="57"/>
      <c r="G2" s="57" t="s">
        <v>74</v>
      </c>
      <c r="H2" s="57"/>
      <c r="I2" s="57"/>
      <c r="J2" s="57" t="s">
        <v>120</v>
      </c>
      <c r="K2" s="57"/>
      <c r="L2" s="57"/>
      <c r="M2" s="1"/>
      <c r="N2" s="1"/>
      <c r="P2" s="27" t="s">
        <v>2</v>
      </c>
      <c r="Q2" s="27">
        <f>'Pro Forma P&amp;L'!B14</f>
        <v>1362065.625</v>
      </c>
      <c r="R2" s="27">
        <f>'Pro Forma P&amp;L'!B52</f>
        <v>426780.5625</v>
      </c>
      <c r="S2" s="27">
        <f>'Pro Forma P&amp;L'!B60</f>
        <v>310914.18</v>
      </c>
      <c r="T2" s="27"/>
      <c r="U2" s="27"/>
      <c r="V2" s="27"/>
    </row>
    <row r="3" spans="1:22">
      <c r="A3" s="58">
        <f>'Pro Forma P&amp;L'!N14</f>
        <v>13162407.525</v>
      </c>
      <c r="B3" s="58"/>
      <c r="C3" s="58"/>
      <c r="D3" s="59">
        <f>'Pro Forma P&amp;L'!N5</f>
        <v>0.65</v>
      </c>
      <c r="E3" s="59"/>
      <c r="F3" s="59"/>
      <c r="G3" s="60">
        <f>'Pro Forma P&amp;L'!N7</f>
        <v>249.99824358974362</v>
      </c>
      <c r="H3" s="60"/>
      <c r="I3" s="60"/>
      <c r="J3" s="60">
        <f>'Pro Forma P&amp;L'!N10/'Pro Forma P&amp;L'!N4</f>
        <v>162.49885833333337</v>
      </c>
      <c r="K3" s="60"/>
      <c r="L3" s="60"/>
      <c r="M3" s="1"/>
      <c r="N3" s="1"/>
      <c r="P3" s="27" t="s">
        <v>3</v>
      </c>
      <c r="Q3" s="27">
        <f>'Pro Forma P&amp;L'!C14</f>
        <v>1283817.6000000001</v>
      </c>
      <c r="R3" s="27">
        <f>'Pro Forma P&amp;L'!C52</f>
        <v>402262.84800000006</v>
      </c>
      <c r="S3" s="27">
        <f>'Pro Forma P&amp;L'!C60</f>
        <v>293052.76416000002</v>
      </c>
      <c r="T3" s="27"/>
      <c r="U3" s="27"/>
      <c r="V3" s="27"/>
    </row>
    <row r="4" spans="1:22" ht="20.100000000000001" customHeight="1">
      <c r="A4" s="58"/>
      <c r="B4" s="58"/>
      <c r="C4" s="58"/>
      <c r="D4" s="59"/>
      <c r="E4" s="59"/>
      <c r="F4" s="59"/>
      <c r="G4" s="60"/>
      <c r="H4" s="60"/>
      <c r="I4" s="60"/>
      <c r="J4" s="60"/>
      <c r="K4" s="60"/>
      <c r="L4" s="60"/>
      <c r="M4" s="1"/>
      <c r="N4" s="1"/>
      <c r="P4" s="27" t="s">
        <v>4</v>
      </c>
      <c r="Q4" s="27">
        <f>'Pro Forma P&amp;L'!D14</f>
        <v>1089648.4500000002</v>
      </c>
      <c r="R4" s="27">
        <f>'Pro Forma P&amp;L'!D52</f>
        <v>341423.18100000004</v>
      </c>
      <c r="S4" s="27">
        <f>'Pro Forma P&amp;L'!D60</f>
        <v>248730.41952000005</v>
      </c>
      <c r="T4" s="27"/>
      <c r="U4" s="27"/>
      <c r="V4" s="27"/>
    </row>
    <row r="5" spans="1:22" ht="23.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P5" s="27" t="s">
        <v>5</v>
      </c>
      <c r="Q5" s="27">
        <f>'Pro Forma P&amp;L'!E14</f>
        <v>1035504</v>
      </c>
      <c r="R5" s="27">
        <f>'Pro Forma P&amp;L'!E52</f>
        <v>324457.91999999993</v>
      </c>
      <c r="S5" s="27">
        <f>'Pro Forma P&amp;L'!E60</f>
        <v>236371.0463999999</v>
      </c>
      <c r="T5" s="27"/>
      <c r="U5" s="27"/>
      <c r="V5" s="27"/>
    </row>
    <row r="6" spans="1:22" ht="23.1" customHeight="1">
      <c r="A6" s="52" t="s">
        <v>121</v>
      </c>
      <c r="B6" s="52"/>
      <c r="C6" s="52"/>
      <c r="D6" s="52" t="s">
        <v>108</v>
      </c>
      <c r="E6" s="52"/>
      <c r="F6" s="52"/>
      <c r="G6" s="50" t="s">
        <v>119</v>
      </c>
      <c r="H6" s="50"/>
      <c r="I6" s="50"/>
      <c r="J6" s="50" t="s">
        <v>114</v>
      </c>
      <c r="K6" s="50"/>
      <c r="L6" s="50"/>
      <c r="M6" s="1"/>
      <c r="N6" s="1"/>
      <c r="P6" s="27" t="s">
        <v>6</v>
      </c>
      <c r="Q6" s="27">
        <f>'Pro Forma P&amp;L'!F14</f>
        <v>772656.3</v>
      </c>
      <c r="R6" s="27">
        <f>'Pro Forma P&amp;L'!F52</f>
        <v>242098.97399999999</v>
      </c>
      <c r="S6" s="27">
        <f>'Pro Forma P&amp;L'!F60</f>
        <v>176371.67807999998</v>
      </c>
      <c r="T6" s="27"/>
      <c r="U6" s="27"/>
      <c r="V6" s="27"/>
    </row>
    <row r="7" spans="1:22">
      <c r="A7" s="53">
        <f>'Pro Forma P&amp;L'!N52</f>
        <v>4124221.0244999998</v>
      </c>
      <c r="B7" s="53"/>
      <c r="C7" s="53"/>
      <c r="D7" s="54">
        <f>'Pro Forma P&amp;L'!N53</f>
        <v>0.3133333333333333</v>
      </c>
      <c r="E7" s="54"/>
      <c r="F7" s="54"/>
      <c r="G7" s="55">
        <f>'Pro Forma P&amp;L'!N60</f>
        <v>3004538.8910399997</v>
      </c>
      <c r="H7" s="55"/>
      <c r="I7" s="55"/>
      <c r="J7" s="51">
        <f>'Pro Forma P&amp;L'!N61</f>
        <v>0.22826666666666665</v>
      </c>
      <c r="K7" s="51"/>
      <c r="L7" s="51"/>
      <c r="M7" s="1"/>
      <c r="N7" s="1"/>
      <c r="P7" s="27" t="s">
        <v>7</v>
      </c>
      <c r="Q7" s="27">
        <f>'Pro Forma P&amp;L'!G14</f>
        <v>1003144.5</v>
      </c>
      <c r="R7" s="27">
        <f>'Pro Forma P&amp;L'!G52</f>
        <v>314318.61</v>
      </c>
      <c r="S7" s="27">
        <f>'Pro Forma P&amp;L'!G60</f>
        <v>228984.45119999998</v>
      </c>
      <c r="T7" s="27"/>
      <c r="U7" s="27"/>
      <c r="V7" s="27"/>
    </row>
    <row r="8" spans="1:22" ht="20.100000000000001" customHeight="1">
      <c r="A8" s="53"/>
      <c r="B8" s="53"/>
      <c r="C8" s="53"/>
      <c r="D8" s="54"/>
      <c r="E8" s="54"/>
      <c r="F8" s="54"/>
      <c r="G8" s="55"/>
      <c r="H8" s="55"/>
      <c r="I8" s="55"/>
      <c r="J8" s="51"/>
      <c r="K8" s="51"/>
      <c r="L8" s="51"/>
      <c r="M8" s="1"/>
      <c r="N8" s="1"/>
      <c r="P8" s="27" t="s">
        <v>8</v>
      </c>
      <c r="Q8" s="27">
        <f>'Pro Forma P&amp;L'!H14</f>
        <v>1362065.625</v>
      </c>
      <c r="R8" s="27">
        <f>'Pro Forma P&amp;L'!H52</f>
        <v>426780.5625</v>
      </c>
      <c r="S8" s="27">
        <f>'Pro Forma P&amp;L'!H60</f>
        <v>310914.18</v>
      </c>
      <c r="T8" s="27"/>
      <c r="U8" s="27"/>
      <c r="V8" s="27"/>
    </row>
    <row r="9" spans="1:22" ht="23.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P9" s="27" t="s">
        <v>9</v>
      </c>
      <c r="Q9" s="27">
        <f>'Pro Forma P&amp;L'!I14</f>
        <v>1301648.4000000001</v>
      </c>
      <c r="R9" s="27">
        <f>'Pro Forma P&amp;L'!I52</f>
        <v>407849.83199999999</v>
      </c>
      <c r="S9" s="27">
        <f>'Pro Forma P&amp;L'!I60</f>
        <v>297122.94144000002</v>
      </c>
      <c r="T9" s="27"/>
      <c r="U9" s="27"/>
      <c r="V9" s="27"/>
    </row>
    <row r="10" spans="1:22" ht="23.1" customHeight="1">
      <c r="A10" s="48" t="s">
        <v>122</v>
      </c>
      <c r="B10" s="48"/>
      <c r="C10" s="48"/>
      <c r="D10" s="48"/>
      <c r="E10" s="48"/>
      <c r="F10" s="48"/>
      <c r="G10" s="48"/>
      <c r="H10" s="48" t="s">
        <v>123</v>
      </c>
      <c r="I10" s="48"/>
      <c r="J10" s="48"/>
      <c r="K10" s="48"/>
      <c r="L10" s="48"/>
      <c r="M10" s="48"/>
      <c r="N10" s="48"/>
      <c r="P10" s="27" t="s">
        <v>10</v>
      </c>
      <c r="Q10" s="27">
        <f>'Pro Forma P&amp;L'!J14</f>
        <v>772656.3</v>
      </c>
      <c r="R10" s="27">
        <f>'Pro Forma P&amp;L'!J52</f>
        <v>242098.97399999999</v>
      </c>
      <c r="S10" s="27">
        <f>'Pro Forma P&amp;L'!J60</f>
        <v>176371.67807999998</v>
      </c>
      <c r="T10" s="27"/>
      <c r="U10" s="27"/>
      <c r="V10" s="27"/>
    </row>
    <row r="11" spans="1:2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27" t="s">
        <v>11</v>
      </c>
      <c r="Q11" s="27">
        <f>'Pro Forma P&amp;L'!K14</f>
        <v>835423.875</v>
      </c>
      <c r="R11" s="27">
        <f>'Pro Forma P&amp;L'!K52</f>
        <v>261766.14750000002</v>
      </c>
      <c r="S11" s="27">
        <f>'Pro Forma P&amp;L'!K60</f>
        <v>190699.42320000002</v>
      </c>
      <c r="T11" s="27"/>
      <c r="U11" s="27"/>
      <c r="V11" s="27"/>
    </row>
    <row r="12" spans="1:22" ht="20.10000000000000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P12" s="27" t="s">
        <v>12</v>
      </c>
      <c r="Q12" s="27">
        <f>'Pro Forma P&amp;L'!L14</f>
        <v>1145159.1000000001</v>
      </c>
      <c r="R12" s="27">
        <f>'Pro Forma P&amp;L'!L52</f>
        <v>358816.51799999998</v>
      </c>
      <c r="S12" s="27">
        <f>'Pro Forma P&amp;L'!L60</f>
        <v>261401.65056000004</v>
      </c>
      <c r="T12" s="27"/>
      <c r="U12" s="27"/>
      <c r="V12" s="27"/>
    </row>
    <row r="13" spans="1:2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P13" s="27" t="s">
        <v>13</v>
      </c>
      <c r="Q13" s="27">
        <f>'Pro Forma P&amp;L'!M14</f>
        <v>1198617.75</v>
      </c>
      <c r="R13" s="27">
        <f>'Pro Forma P&amp;L'!M52</f>
        <v>375566.89499999996</v>
      </c>
      <c r="S13" s="27">
        <f>'Pro Forma P&amp;L'!M60</f>
        <v>273604.47839999996</v>
      </c>
      <c r="T13" s="27"/>
      <c r="U13" s="27"/>
      <c r="V13" s="27"/>
    </row>
    <row r="14" spans="1:2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P14" s="27"/>
      <c r="Q14" s="27"/>
      <c r="R14" s="27"/>
      <c r="S14" s="27"/>
      <c r="T14" s="27"/>
      <c r="U14" s="27"/>
      <c r="V14" s="27"/>
    </row>
    <row r="15" spans="1:2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P15" s="27"/>
      <c r="Q15" s="27"/>
      <c r="R15" s="27"/>
      <c r="S15" s="27"/>
      <c r="T15" s="27"/>
      <c r="U15" s="27"/>
      <c r="V15" s="27"/>
    </row>
    <row r="16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P16" s="30" t="s">
        <v>116</v>
      </c>
      <c r="Q16" s="30" t="s">
        <v>17</v>
      </c>
      <c r="R16" s="30"/>
      <c r="S16" s="30"/>
      <c r="T16" s="30" t="s">
        <v>116</v>
      </c>
      <c r="U16" s="30" t="s">
        <v>74</v>
      </c>
      <c r="V16" s="30" t="s">
        <v>120</v>
      </c>
    </row>
    <row r="17" spans="1:2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P17" s="27" t="s">
        <v>2</v>
      </c>
      <c r="Q17" s="28">
        <f>'Pro Forma P&amp;L'!B5</f>
        <v>0.75</v>
      </c>
      <c r="R17" s="27"/>
      <c r="S17" s="27"/>
      <c r="T17" s="27" t="s">
        <v>2</v>
      </c>
      <c r="U17" s="29">
        <f>'Pro Forma P&amp;L'!B7</f>
        <v>269.05</v>
      </c>
      <c r="V17" s="29">
        <f>'Pro Forma P&amp;L'!B10/'Pro Forma P&amp;L'!B4</f>
        <v>201.78749999999999</v>
      </c>
    </row>
    <row r="18" spans="1:2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P18" s="27" t="s">
        <v>3</v>
      </c>
      <c r="Q18" s="28">
        <f>'Pro Forma P&amp;L'!C5</f>
        <v>0.72</v>
      </c>
      <c r="R18" s="27"/>
      <c r="S18" s="27"/>
      <c r="T18" s="27" t="s">
        <v>3</v>
      </c>
      <c r="U18" s="29">
        <f>'Pro Forma P&amp;L'!C7</f>
        <v>264.16000000000003</v>
      </c>
      <c r="V18" s="29">
        <f>'Pro Forma P&amp;L'!C10/'Pro Forma P&amp;L'!C4</f>
        <v>190.1952</v>
      </c>
    </row>
    <row r="19" spans="1:2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P19" s="27" t="s">
        <v>4</v>
      </c>
      <c r="Q19" s="28">
        <f>'Pro Forma P&amp;L'!D5</f>
        <v>0.66</v>
      </c>
      <c r="R19" s="27"/>
      <c r="S19" s="27"/>
      <c r="T19" s="27" t="s">
        <v>4</v>
      </c>
      <c r="U19" s="29">
        <f>'Pro Forma P&amp;L'!D7</f>
        <v>244.59</v>
      </c>
      <c r="V19" s="29">
        <f>'Pro Forma P&amp;L'!D10/'Pro Forma P&amp;L'!D4</f>
        <v>161.42940000000002</v>
      </c>
    </row>
    <row r="20" spans="1:2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P20" s="27" t="s">
        <v>5</v>
      </c>
      <c r="Q20" s="28">
        <f>'Pro Forma P&amp;L'!E5</f>
        <v>0.64</v>
      </c>
      <c r="R20" s="27"/>
      <c r="S20" s="27"/>
      <c r="T20" s="27" t="s">
        <v>5</v>
      </c>
      <c r="U20" s="29">
        <f>'Pro Forma P&amp;L'!E7</f>
        <v>239.7</v>
      </c>
      <c r="V20" s="29">
        <f>'Pro Forma P&amp;L'!E10/'Pro Forma P&amp;L'!E4</f>
        <v>153.40799999999999</v>
      </c>
    </row>
    <row r="21" spans="1:2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P21" s="27" t="s">
        <v>6</v>
      </c>
      <c r="Q21" s="28">
        <f>'Pro Forma P&amp;L'!F5</f>
        <v>0.52</v>
      </c>
      <c r="R21" s="27"/>
      <c r="S21" s="27"/>
      <c r="T21" s="27" t="s">
        <v>6</v>
      </c>
      <c r="U21" s="29">
        <f>'Pro Forma P&amp;L'!F7</f>
        <v>220.13</v>
      </c>
      <c r="V21" s="29">
        <f>'Pro Forma P&amp;L'!F10/'Pro Forma P&amp;L'!F4</f>
        <v>114.4676</v>
      </c>
    </row>
    <row r="22" spans="1: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P22" s="27" t="s">
        <v>7</v>
      </c>
      <c r="Q22" s="28">
        <f>'Pro Forma P&amp;L'!G5</f>
        <v>0.62</v>
      </c>
      <c r="R22" s="27"/>
      <c r="S22" s="27"/>
      <c r="T22" s="27" t="s">
        <v>7</v>
      </c>
      <c r="U22" s="29">
        <f>'Pro Forma P&amp;L'!G7</f>
        <v>239.7</v>
      </c>
      <c r="V22" s="29">
        <f>'Pro Forma P&amp;L'!G10/'Pro Forma P&amp;L'!G4</f>
        <v>148.614</v>
      </c>
    </row>
    <row r="23" spans="1:2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P23" s="27" t="s">
        <v>8</v>
      </c>
      <c r="Q23" s="28">
        <f>'Pro Forma P&amp;L'!H5</f>
        <v>0.75</v>
      </c>
      <c r="R23" s="27"/>
      <c r="S23" s="27"/>
      <c r="T23" s="27" t="s">
        <v>8</v>
      </c>
      <c r="U23" s="29">
        <f>'Pro Forma P&amp;L'!H7</f>
        <v>269.05</v>
      </c>
      <c r="V23" s="29">
        <f>'Pro Forma P&amp;L'!H10/'Pro Forma P&amp;L'!H4</f>
        <v>201.78749999999999</v>
      </c>
    </row>
    <row r="24" spans="1:2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P24" s="27" t="s">
        <v>9</v>
      </c>
      <c r="Q24" s="28">
        <f>'Pro Forma P&amp;L'!I5</f>
        <v>0.73</v>
      </c>
      <c r="R24" s="27"/>
      <c r="S24" s="27"/>
      <c r="T24" s="27" t="s">
        <v>9</v>
      </c>
      <c r="U24" s="29">
        <f>'Pro Forma P&amp;L'!I7</f>
        <v>264.16000000000003</v>
      </c>
      <c r="V24" s="29">
        <f>'Pro Forma P&amp;L'!I10/'Pro Forma P&amp;L'!I4</f>
        <v>192.83680000000001</v>
      </c>
    </row>
    <row r="25" spans="1:2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P25" s="27" t="s">
        <v>10</v>
      </c>
      <c r="Q25" s="28">
        <f>'Pro Forma P&amp;L'!J5</f>
        <v>0.52</v>
      </c>
      <c r="R25" s="27"/>
      <c r="S25" s="27"/>
      <c r="T25" s="27" t="s">
        <v>10</v>
      </c>
      <c r="U25" s="29">
        <f>'Pro Forma P&amp;L'!J7</f>
        <v>220.13</v>
      </c>
      <c r="V25" s="29">
        <f>'Pro Forma P&amp;L'!J10/'Pro Forma P&amp;L'!J4</f>
        <v>114.4676</v>
      </c>
    </row>
    <row r="26" spans="1:2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P26" s="27" t="s">
        <v>11</v>
      </c>
      <c r="Q26" s="28">
        <f>'Pro Forma P&amp;L'!K5</f>
        <v>0.55000000000000004</v>
      </c>
      <c r="R26" s="27"/>
      <c r="S26" s="27"/>
      <c r="T26" s="27" t="s">
        <v>11</v>
      </c>
      <c r="U26" s="29">
        <f>'Pro Forma P&amp;L'!K7</f>
        <v>225.03</v>
      </c>
      <c r="V26" s="29">
        <f>'Pro Forma P&amp;L'!K10/'Pro Forma P&amp;L'!K4</f>
        <v>123.76649999999999</v>
      </c>
    </row>
    <row r="27" spans="1:22" ht="15">
      <c r="A27" s="48" t="s">
        <v>124</v>
      </c>
      <c r="B27" s="48"/>
      <c r="C27" s="48"/>
      <c r="D27" s="48"/>
      <c r="E27" s="48"/>
      <c r="F27" s="48"/>
      <c r="G27" s="48"/>
      <c r="H27" s="48" t="s">
        <v>125</v>
      </c>
      <c r="I27" s="48"/>
      <c r="J27" s="48"/>
      <c r="K27" s="48"/>
      <c r="L27" s="48"/>
      <c r="M27" s="48"/>
      <c r="N27" s="48"/>
      <c r="P27" s="27" t="s">
        <v>12</v>
      </c>
      <c r="Q27" s="28">
        <f>'Pro Forma P&amp;L'!L5</f>
        <v>0.68</v>
      </c>
      <c r="R27" s="27"/>
      <c r="S27" s="27"/>
      <c r="T27" s="27" t="s">
        <v>12</v>
      </c>
      <c r="U27" s="29">
        <f>'Pro Forma P&amp;L'!L7</f>
        <v>249.49</v>
      </c>
      <c r="V27" s="29">
        <f>'Pro Forma P&amp;L'!L10/'Pro Forma P&amp;L'!L4</f>
        <v>169.6532</v>
      </c>
    </row>
    <row r="28" spans="1:2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P28" s="27" t="s">
        <v>13</v>
      </c>
      <c r="Q28" s="28">
        <f>'Pro Forma P&amp;L'!M5</f>
        <v>0.66</v>
      </c>
      <c r="R28" s="27"/>
      <c r="S28" s="27"/>
      <c r="T28" s="27" t="s">
        <v>13</v>
      </c>
      <c r="U28" s="29">
        <f>'Pro Forma P&amp;L'!M7</f>
        <v>269.05</v>
      </c>
      <c r="V28" s="29">
        <f>'Pro Forma P&amp;L'!M10/'Pro Forma P&amp;L'!M4</f>
        <v>177.57300000000001</v>
      </c>
    </row>
    <row r="29" spans="1:22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P29" s="27"/>
      <c r="Q29" s="27"/>
      <c r="R29" s="27"/>
      <c r="S29" s="27"/>
      <c r="T29" s="27"/>
      <c r="U29" s="27"/>
      <c r="V29" s="27"/>
    </row>
    <row r="30" spans="1:2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P30" s="27"/>
      <c r="Q30" s="27"/>
      <c r="R30" s="27"/>
      <c r="S30" s="27"/>
      <c r="T30" s="27"/>
      <c r="U30" s="27"/>
      <c r="V30" s="27"/>
    </row>
    <row r="31" spans="1:2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P31" s="30" t="s">
        <v>126</v>
      </c>
      <c r="Q31" s="30" t="s">
        <v>127</v>
      </c>
      <c r="R31" s="27"/>
      <c r="S31" s="27"/>
      <c r="T31" s="27"/>
      <c r="U31" s="27"/>
      <c r="V31" s="27"/>
    </row>
    <row r="32" spans="1:2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P32" s="27" t="s">
        <v>128</v>
      </c>
      <c r="Q32" s="27">
        <f>'Pro Forma P&amp;L'!N10</f>
        <v>8774938.3500000015</v>
      </c>
      <c r="R32" s="27"/>
      <c r="S32" s="27"/>
      <c r="T32" s="27"/>
      <c r="U32" s="27"/>
      <c r="V32" s="27"/>
    </row>
    <row r="33" spans="1:2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P33" s="27" t="s">
        <v>129</v>
      </c>
      <c r="Q33" s="27">
        <f>'Pro Forma P&amp;L'!N11</f>
        <v>3509975.3400000003</v>
      </c>
      <c r="R33" s="27"/>
      <c r="S33" s="27"/>
      <c r="T33" s="27"/>
      <c r="U33" s="27"/>
      <c r="V33" s="27"/>
    </row>
    <row r="34" spans="1:2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P34" s="27" t="s">
        <v>130</v>
      </c>
      <c r="Q34" s="27">
        <f>'Pro Forma P&amp;L'!N12</f>
        <v>877493.83500000008</v>
      </c>
      <c r="R34" s="27"/>
      <c r="S34" s="27"/>
      <c r="T34" s="27"/>
      <c r="U34" s="27"/>
      <c r="V34" s="27"/>
    </row>
    <row r="35" spans="1:2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2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2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2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2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2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2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2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2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22" ht="15">
      <c r="A44" s="49" t="s">
        <v>131</v>
      </c>
      <c r="B44" s="49"/>
      <c r="C44" s="49"/>
      <c r="D44" s="38"/>
      <c r="E44" s="38"/>
      <c r="F44" s="38"/>
      <c r="G44" s="1"/>
      <c r="H44" s="48" t="s">
        <v>132</v>
      </c>
      <c r="I44" s="48"/>
      <c r="J44" s="48"/>
      <c r="K44" s="48"/>
      <c r="L44" s="48"/>
      <c r="M44" s="1"/>
      <c r="N44" s="1"/>
    </row>
    <row r="45" spans="1:22" ht="30">
      <c r="A45" s="31" t="s">
        <v>133</v>
      </c>
      <c r="B45" s="31" t="s">
        <v>134</v>
      </c>
      <c r="C45" s="31" t="s">
        <v>135</v>
      </c>
      <c r="D45" s="1"/>
      <c r="E45" s="1"/>
      <c r="F45" s="1"/>
      <c r="G45" s="1"/>
      <c r="H45" s="31" t="s">
        <v>136</v>
      </c>
      <c r="I45" s="31" t="s">
        <v>137</v>
      </c>
      <c r="J45" s="31" t="s">
        <v>138</v>
      </c>
      <c r="K45" s="31" t="s">
        <v>139</v>
      </c>
      <c r="L45" s="31" t="s">
        <v>140</v>
      </c>
      <c r="M45" s="1"/>
      <c r="N45" s="1"/>
    </row>
    <row r="46" spans="1:22" ht="20.100000000000001" customHeight="1">
      <c r="A46" s="32" t="s">
        <v>80</v>
      </c>
      <c r="B46" s="33">
        <f>'Pro Forma P&amp;L'!N14</f>
        <v>13162407.525</v>
      </c>
      <c r="C46" s="34">
        <f>B46/B46</f>
        <v>1</v>
      </c>
      <c r="D46" s="1"/>
      <c r="E46" s="1"/>
      <c r="F46" s="1"/>
      <c r="G46" s="1"/>
      <c r="H46" s="32" t="s">
        <v>128</v>
      </c>
      <c r="I46" s="33">
        <f>'Pro Forma P&amp;L'!N10</f>
        <v>8774938.3500000015</v>
      </c>
      <c r="J46" s="33">
        <f>'Pro Forma P&amp;L'!N20</f>
        <v>2018235.8205000001</v>
      </c>
      <c r="K46" s="33">
        <f>'Pro Forma P&amp;L'!N21</f>
        <v>6756702.5295000002</v>
      </c>
      <c r="L46" s="34">
        <f>'Pro Forma P&amp;L'!N22</f>
        <v>0.76999999999999991</v>
      </c>
      <c r="M46" s="1"/>
      <c r="N46" s="1"/>
    </row>
    <row r="47" spans="1:22">
      <c r="A47" s="32" t="s">
        <v>97</v>
      </c>
      <c r="B47" s="33">
        <f>'Pro Forma P&amp;L'!N40</f>
        <v>5286900.3558749994</v>
      </c>
      <c r="C47" s="34">
        <f>B47/$B$46</f>
        <v>0.40166666666666662</v>
      </c>
      <c r="D47" s="1"/>
      <c r="E47" s="1"/>
      <c r="F47" s="1"/>
      <c r="G47" s="1"/>
      <c r="H47" s="32" t="s">
        <v>129</v>
      </c>
      <c r="I47" s="33">
        <f>'Pro Forma P&amp;L'!N11</f>
        <v>3509975.3400000003</v>
      </c>
      <c r="J47" s="33">
        <f>'Pro Forma P&amp;L'!N28</f>
        <v>2720230.8885000004</v>
      </c>
      <c r="K47" s="33">
        <f>'Pro Forma P&amp;L'!N29</f>
        <v>789744.45149999997</v>
      </c>
      <c r="L47" s="34">
        <f>'Pro Forma P&amp;L'!N30</f>
        <v>0.22499999999999998</v>
      </c>
      <c r="M47" s="1"/>
      <c r="N47" s="1"/>
    </row>
    <row r="48" spans="1:22" ht="18.95" customHeight="1">
      <c r="A48" s="42" t="s">
        <v>98</v>
      </c>
      <c r="B48" s="43">
        <f>'Pro Forma P&amp;L'!N41</f>
        <v>7875507.1691250009</v>
      </c>
      <c r="C48" s="44">
        <f t="shared" ref="C48:C53" si="0">B48/$B$46</f>
        <v>0.59833333333333338</v>
      </c>
      <c r="D48" s="1"/>
      <c r="E48" s="1"/>
      <c r="F48" s="1"/>
      <c r="G48" s="1"/>
      <c r="H48" s="32" t="s">
        <v>130</v>
      </c>
      <c r="I48" s="33">
        <f>'Pro Forma P&amp;L'!N12</f>
        <v>877493.83500000008</v>
      </c>
      <c r="J48" s="33">
        <f>'Pro Forma P&amp;L'!N35</f>
        <v>548433.64687500009</v>
      </c>
      <c r="K48" s="33">
        <f>'Pro Forma P&amp;L'!N36</f>
        <v>329060.18812499999</v>
      </c>
      <c r="L48" s="34">
        <f>'Pro Forma P&amp;L'!N37</f>
        <v>0.37499999999999994</v>
      </c>
      <c r="M48" s="1"/>
      <c r="N48" s="1"/>
    </row>
    <row r="49" spans="1:14" ht="18.95" customHeight="1">
      <c r="A49" s="32" t="s">
        <v>141</v>
      </c>
      <c r="B49" s="33">
        <f>'Pro Forma P&amp;L'!N50</f>
        <v>3751286.1446250002</v>
      </c>
      <c r="C49" s="34">
        <f t="shared" si="0"/>
        <v>0.28500000000000003</v>
      </c>
      <c r="D49" s="1"/>
      <c r="E49" s="1"/>
      <c r="F49" s="1"/>
      <c r="G49" s="1"/>
      <c r="H49" s="35" t="s">
        <v>142</v>
      </c>
      <c r="I49" s="36">
        <f>'Pro Forma P&amp;L'!N10+'Pro Forma P&amp;L'!N11+'Pro Forma P&amp;L'!N12</f>
        <v>13162407.525000002</v>
      </c>
      <c r="J49" s="36">
        <f>'Pro Forma P&amp;L'!N40</f>
        <v>5286900.3558749994</v>
      </c>
      <c r="K49" s="36">
        <f>'Pro Forma P&amp;L'!N41</f>
        <v>7875507.1691250009</v>
      </c>
      <c r="L49" s="37">
        <f>'Pro Forma P&amp;L'!N42</f>
        <v>0.59833333333333338</v>
      </c>
      <c r="M49" s="1"/>
      <c r="N49" s="1"/>
    </row>
    <row r="50" spans="1:14" ht="18.95" customHeight="1">
      <c r="A50" s="39" t="s">
        <v>121</v>
      </c>
      <c r="B50" s="40">
        <f>'Pro Forma P&amp;L'!N52</f>
        <v>4124221.0244999998</v>
      </c>
      <c r="C50" s="41">
        <f t="shared" si="0"/>
        <v>0.3133333333333333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8.95" customHeight="1">
      <c r="A51" s="32" t="s">
        <v>143</v>
      </c>
      <c r="B51" s="33">
        <f>'Pro Forma P&amp;L'!N56+'Pro Forma P&amp;L'!N57</f>
        <v>593185.83245999995</v>
      </c>
      <c r="C51" s="34">
        <f t="shared" si="0"/>
        <v>4.5066666666666665E-2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8.95" customHeight="1">
      <c r="A52" s="32" t="s">
        <v>112</v>
      </c>
      <c r="B52" s="33">
        <f>'Pro Forma P&amp;L'!N58</f>
        <v>526496.30099999998</v>
      </c>
      <c r="C52" s="34">
        <f t="shared" si="0"/>
        <v>3.9999999999999994E-2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8.95" customHeight="1">
      <c r="A53" s="45" t="s">
        <v>119</v>
      </c>
      <c r="B53" s="46">
        <f>'Pro Forma P&amp;L'!N60</f>
        <v>3004538.8910399997</v>
      </c>
      <c r="C53" s="47">
        <f t="shared" si="0"/>
        <v>0.22826666666666665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8.9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8.9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</sheetData>
  <mergeCells count="23">
    <mergeCell ref="A1:N1"/>
    <mergeCell ref="A2:C2"/>
    <mergeCell ref="A3:C4"/>
    <mergeCell ref="D2:F2"/>
    <mergeCell ref="D3:F4"/>
    <mergeCell ref="G2:I2"/>
    <mergeCell ref="G3:I4"/>
    <mergeCell ref="J2:L2"/>
    <mergeCell ref="J3:L4"/>
    <mergeCell ref="H44:L44"/>
    <mergeCell ref="A44:C44"/>
    <mergeCell ref="J6:L6"/>
    <mergeCell ref="J7:L8"/>
    <mergeCell ref="A10:G10"/>
    <mergeCell ref="H10:N10"/>
    <mergeCell ref="A27:G27"/>
    <mergeCell ref="H27:N27"/>
    <mergeCell ref="A6:C6"/>
    <mergeCell ref="A7:C8"/>
    <mergeCell ref="D6:F6"/>
    <mergeCell ref="D7:F8"/>
    <mergeCell ref="G6:I6"/>
    <mergeCell ref="G7:I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Pro Forma P&amp;L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Thiên Ngân</cp:lastModifiedBy>
  <dcterms:created xsi:type="dcterms:W3CDTF">2026-10-07T00:19:52Z</dcterms:created>
  <dcterms:modified xsi:type="dcterms:W3CDTF">2026-10-08T15:28:19Z</dcterms:modified>
</cp:coreProperties>
</file>