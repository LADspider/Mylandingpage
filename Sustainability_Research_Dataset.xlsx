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Intern\New folder\Final\PTBV\"/>
    </mc:Choice>
  </mc:AlternateContent>
  <xr:revisionPtr revIDLastSave="0" documentId="13_ncr:20001_{AF047CB0-7D69-497C-9868-4A94124BCC25}" xr6:coauthVersionLast="47" xr6:coauthVersionMax="47" xr10:uidLastSave="{00000000-0000-0000-0000-000000000000}"/>
  <bookViews>
    <workbookView xWindow="-120" yWindow="-120" windowWidth="20730" windowHeight="11160" firstSheet="5" activeTab="6" xr2:uid="{00000000-000D-0000-FFFF-FFFF00000000}"/>
  </bookViews>
  <sheets>
    <sheet name="Tóm tắt profile" sheetId="18" r:id="rId1"/>
    <sheet name="Trọng tâm triển khai" sheetId="17" state="hidden" r:id="rId2"/>
    <sheet name="Mức độ xác minh dữ kiện" sheetId="12" r:id="rId3"/>
    <sheet name="Dimensions coverage" sheetId="13" r:id="rId4"/>
    <sheet name="Resort coverage" sheetId="14" r:id="rId5"/>
    <sheet name="Kết luận" sheetId="15" r:id="rId6"/>
    <sheet name="Dữ liệu thô" sheetId="11" r:id="rId7"/>
    <sheet name="Quản lý &amp; Tích hợp" sheetId="4" r:id="rId8"/>
    <sheet name="Nguồn" sheetId="9" r:id="rId9"/>
  </sheets>
  <calcPr calcId="191029"/>
  <fileRecoveryPr repairLoad="1"/>
</workbook>
</file>

<file path=xl/calcChain.xml><?xml version="1.0" encoding="utf-8"?>
<calcChain xmlns="http://schemas.openxmlformats.org/spreadsheetml/2006/main">
  <c r="B3" i="13" l="1"/>
  <c r="B4" i="13"/>
  <c r="F1048554" i="11"/>
  <c r="G12" i="14"/>
  <c r="F12" i="14"/>
  <c r="E12" i="14"/>
  <c r="D12" i="14"/>
  <c r="C12" i="14"/>
  <c r="B12" i="14"/>
  <c r="G11" i="14"/>
  <c r="F11" i="14"/>
  <c r="E11" i="14"/>
  <c r="D11" i="14"/>
  <c r="C11" i="14"/>
  <c r="B11" i="14"/>
  <c r="G10" i="14"/>
  <c r="F10" i="14"/>
  <c r="E10" i="14"/>
  <c r="D10" i="14"/>
  <c r="C10" i="14"/>
  <c r="B10" i="14"/>
  <c r="G9" i="14"/>
  <c r="F9" i="14"/>
  <c r="E9" i="14"/>
  <c r="D9" i="14"/>
  <c r="C9" i="14"/>
  <c r="B9" i="14"/>
  <c r="G8" i="14"/>
  <c r="F8" i="14"/>
  <c r="E8" i="14"/>
  <c r="D8" i="14"/>
  <c r="C8" i="14"/>
  <c r="B8" i="14"/>
  <c r="G7" i="14"/>
  <c r="F7" i="14"/>
  <c r="E7" i="14"/>
  <c r="D7" i="14"/>
  <c r="C7" i="14"/>
  <c r="B7" i="14"/>
  <c r="G6" i="14"/>
  <c r="F6" i="14"/>
  <c r="E6" i="14"/>
  <c r="D6" i="14"/>
  <c r="C6" i="14"/>
  <c r="B6" i="14"/>
  <c r="G5" i="14"/>
  <c r="F5" i="14"/>
  <c r="E5" i="14"/>
  <c r="D5" i="14"/>
  <c r="C5" i="14"/>
  <c r="B5" i="14"/>
  <c r="G4" i="14"/>
  <c r="F4" i="14"/>
  <c r="E4" i="14"/>
  <c r="D4" i="14"/>
  <c r="C4" i="14"/>
  <c r="B4" i="14"/>
  <c r="G3" i="14"/>
  <c r="F3" i="14"/>
  <c r="E3" i="14"/>
  <c r="D3" i="14"/>
  <c r="C3" i="14"/>
  <c r="B3" i="14"/>
  <c r="G10" i="13"/>
  <c r="F10" i="13"/>
  <c r="E10" i="13"/>
  <c r="D10" i="13"/>
  <c r="C10" i="13"/>
  <c r="B10" i="13"/>
  <c r="G9" i="13"/>
  <c r="F9" i="13"/>
  <c r="E9" i="13"/>
  <c r="D9" i="13"/>
  <c r="C9" i="13"/>
  <c r="B9" i="13"/>
  <c r="G8" i="13"/>
  <c r="F8" i="13"/>
  <c r="E8" i="13"/>
  <c r="D8" i="13"/>
  <c r="C8" i="13"/>
  <c r="B8" i="13"/>
  <c r="G7" i="13"/>
  <c r="F7" i="13"/>
  <c r="E7" i="13"/>
  <c r="D7" i="13"/>
  <c r="C7" i="13"/>
  <c r="B7" i="13"/>
  <c r="G6" i="13"/>
  <c r="F6" i="13"/>
  <c r="E6" i="13"/>
  <c r="D6" i="13"/>
  <c r="C6" i="13"/>
  <c r="B6" i="13"/>
  <c r="G5" i="13"/>
  <c r="F5" i="13"/>
  <c r="E5" i="13"/>
  <c r="D5" i="13"/>
  <c r="C5" i="13"/>
  <c r="B5" i="13"/>
  <c r="G4" i="13"/>
  <c r="F4" i="13"/>
  <c r="E4" i="13"/>
  <c r="D4" i="13"/>
  <c r="C4" i="13"/>
  <c r="G3" i="13"/>
  <c r="F3" i="13"/>
  <c r="E3" i="13"/>
  <c r="D3" i="13"/>
  <c r="C3" i="13"/>
</calcChain>
</file>

<file path=xl/sharedStrings.xml><?xml version="1.0" encoding="utf-8"?>
<sst xmlns="http://schemas.openxmlformats.org/spreadsheetml/2006/main" count="3088" uniqueCount="1217">
  <si>
    <t>Thực hành phát triển bền vững theo từng khía cạnh của các khu nghỉ dưỡng</t>
  </si>
  <si>
    <t>Khu nghỉ dưỡng</t>
  </si>
  <si>
    <t>Tóm tắt về minh chứng đã công bố</t>
  </si>
  <si>
    <t>Năng lượng &amp; Khí hậu</t>
  </si>
  <si>
    <t>Nước</t>
  </si>
  <si>
    <t>Chất thải &amp; Nhựa</t>
  </si>
  <si>
    <t>Thực phẩm &amp; Thu mua</t>
  </si>
  <si>
    <t>Đa dạng sinh học &amp; Hệ sinh thái</t>
  </si>
  <si>
    <t>Cộng đồng &amp; Con người</t>
  </si>
  <si>
    <t>Văn hóa &amp; Di sản</t>
  </si>
  <si>
    <t>Gắn kết khách hàng</t>
  </si>
  <si>
    <t>Lưu ý</t>
  </si>
  <si>
    <t>Six Senses Ninh Van Bay</t>
  </si>
  <si>
    <t>8/8 khía cạnh; 5 khía cạnh có dữ liệu định lượng; có nguồn đối chiếu bên ngoài ở biodiversity/community.</t>
  </si>
  <si>
    <t>Điện mặt trời; 739.782 kWh năm 2025, khoảng 26–28% nhu cầu điện. Chưa thấy KPI cường độ năng lượng công khai.</t>
  </si>
  <si>
    <t>Tiết kiệm nước trong vận hành; chưa thấy KPI nước/khách hoặc phòng có khách công khai.</t>
  </si>
  <si>
    <t>Chai thủy tinh tái sử dụng; 156.288 chai nhựa tránh dùng; ủ phân hữu cơ và thu gom rác cộng đồng.</t>
  </si>
  <si>
    <t>3 vườn hữu cơ; 13.849 kg nông sản hữu cơ; có định hướng thu mua có trách nhiệm nhưng chưa thấy tỷ lệ địa phương.</t>
  </si>
  <si>
    <t>Bảo tồn voọc, phục hồi san hô và rừng ngập mặn; GreenViet tham gia theo dõi đa dạng sinh học.</t>
  </si>
  <si>
    <t>Hỗ trợ giáo dục, nước sạch, đèn năng lượng mặt trời và đào tạo bảo tồn cho nhân viên/cộng đồng.</t>
  </si>
  <si>
    <t>Earth Lab và Langur Lounge giới thiệu văn hóa địa phương gắn với thiên nhiên và bảo tồn.</t>
  </si>
  <si>
    <t>Langur Discovery, Nature Hike, Langur Talk, Flora Walk và các hoạt động tìm hiểu thiên nhiên.</t>
  </si>
  <si>
    <t>Nhiều số liệu là đầu ra; ít KPI chuẩn hóa về năng lượng/nước/chất thải.</t>
  </si>
  <si>
    <t>InterContinental Danang Sun Peninsula Resort</t>
  </si>
  <si>
    <t>8/8 khía cạnh; nhiều thực hành định tính; có Green Globe.</t>
  </si>
  <si>
    <t>Theo dõi năng lượng và áp dụng biện pháp tiết kiệm; chưa thấy KPI cường độ hiện tại.</t>
  </si>
  <si>
    <t>Thiết bị tiết kiệm nước, tái sử dụng và xử lý nước thải; có hệ thống quản lý nước trong vận hành.</t>
  </si>
  <si>
    <t>Chai thủy tinh, phân loại và tái chế; xử lý rác hữu cơ và theo dõi chất thải.</t>
  </si>
  <si>
    <t>Thu mua địa phương và vật liệu ưu tiên môi trường; tránh các loài dễ tổn thương.</t>
  </si>
  <si>
    <t>Bảo tồn linh trưởng, cầu cho động vật di chuyển và hỗ trợ sinh cảnh Sơn Trà.</t>
  </si>
  <si>
    <t>Lao động địa phương, đào tạo nhân viên, hợp tác với trường đào tạo và các hoạt động cộng đồng.</t>
  </si>
  <si>
    <t>Nghệ thuật, kiến trúc và câu chuyện địa phương được đưa vào thiết kế và trải nghiệm.</t>
  </si>
  <si>
    <t>Resident naturalist, Nature Expeditions, Ecowalks và Primate Appreciation Month.</t>
  </si>
  <si>
    <t>Ít KPI định lượng cấp property về cường độ tài nguyên.</t>
  </si>
  <si>
    <t>Banyan Tree Lang Co</t>
  </si>
  <si>
    <t>4/8 khía cạnh có bằng chứng hiện tại trong ma trận, có chứng nhận</t>
  </si>
  <si>
    <t>Chưa thấy KPI hiện tại riêng cho Banyan Tree Lang Co; một số thông tin môi trường là cấp Laguna Lang Co.</t>
  </si>
  <si>
    <t>Xử lý nước thải và nguồn nước thay thế ở cấp khu phức hợp; không gán trực tiếp thành KPI riêng của resort.</t>
  </si>
  <si>
    <t>Đóng chai thủy tinh và ủ phân ở cấp khu phức hợp; chưa có KPI hiện tại riêng của resort.</t>
  </si>
  <si>
    <t>Chưa thấy KPI hiện tại rõ về tỷ lệ thu mua địa phương hoặc thu mua có trách nhiệm.</t>
  </si>
  <si>
    <t>Birdwatching và chương trình Signature Birds; bằng chứng hiện tại về KPI sinh thái còn hạn chế.</t>
  </si>
  <si>
    <t>Đào tạo nghề, hỗ trợ cộng đồng và cơ hội việc làm cho nghệ nhân/người khuyết tật.</t>
  </si>
  <si>
    <t>Thủ công địa phương và câu chuyện văn hóa được đưa vào sản phẩm và trải nghiệm.</t>
  </si>
  <si>
    <t>Workshop thủ công, Stay for Good và birdwatching; một số hoạt động kết nối trực tiếp nghệ nhân với khách.</t>
  </si>
  <si>
    <t>Không gán KPI Laguna integrated resort thành KPI của Banyan Tree property.</t>
  </si>
  <si>
    <t>Topas Ecolodge</t>
  </si>
  <si>
    <t>7/8 khía cạnh; nổi bật về địa gắn kết địa phương</t>
  </si>
  <si>
    <t>Vận hành tiết kiệm năng lượng và sử dụng nguồn tái tạo; chưa có KPI hiệu suất công khai rõ.</t>
  </si>
  <si>
    <t>Thu gom nước mưa, tái sử dụng nước xám và xử lý nước thải bằng vùng đất ngập nước nhân tạo.</t>
  </si>
  <si>
    <t>Loại bỏ nhựa dùng một lần; tái sử dụng chai thủy tinh; đưa chất thải thực phẩm cho hộ dân/nông dân địa phương.</t>
  </si>
  <si>
    <t>&gt;80% thực phẩm và vật tư nhà hàng mua trực tiếp từ nông trại địa phương.</t>
  </si>
  <si>
    <t>Làm việc trong cảnh quan Hoàng Liên và có các thực hành bảo vệ môi trường; chưa thấy KPI đa dạng sinh học cụ thể.</t>
  </si>
  <si>
    <t>&gt;98% nhân viên là người dân tộc thiểu số từ các bản xung quanh; hỗ trợ nghệ nhân và đào tạo nghề.</t>
  </si>
  <si>
    <t>Nghề thủ công, kiến trúc, ẩm thực và câu chuyện địa phương.</t>
  </si>
  <si>
    <t>Workshop văn hóa, Green Leaf Initiative và hoạt động bảo vệ cảnh quan có sự tham gia của khách.</t>
  </si>
  <si>
    <t>Ít KPI hiệu suất chuẩn hóa; ASEAN Green Hotel là ghi nhận, không phải audit KPI.</t>
  </si>
  <si>
    <t>The Westin Resort &amp; Spa Cam Ranh</t>
  </si>
  <si>
    <t>8/8 khía cạnh, một vài KPI được chuẩn hóa</t>
  </si>
  <si>
    <t>Mục tiêu giảm 10% tác động liên quan năng lượng/nước/chất thải vào cuối 2026; đạt 3% đến cuối 2025; 83,5 kg CO₂e/phòng có khách.</t>
  </si>
  <si>
    <t>4.539,37 lít nước/phòng có khách.</t>
  </si>
  <si>
    <t>Chuyển sang chai thủy tinh, tránh hơn 81.000 chai nhựa; có tái chế tại phòng khách.</t>
  </si>
  <si>
    <t>Thu mua protein và hải sản có trách nhiệm; chưa công bố tỷ lệ.</t>
  </si>
  <si>
    <t>Cam kết bảo vệ đa dạng sinh học nhưng chưa có KPI về loài hoặc sinh cảnh.</t>
  </si>
  <si>
    <t>Gây quỹ Road to Give; 1.000 USD năm 2025 và mục tiêu 2.000 USD năm 2026 cho hỗ trợ cộng đồng/giáo dục.</t>
  </si>
  <si>
    <t>Vật liệu tự nhiên, mái xanh và thiết kế gợi liên hệ tới làng chài địa phương.</t>
  </si>
  <si>
    <t>Khuyến khích khách tiết kiệm nước, năng lượng, giảm rác và tham gia đóng góp cộng đồng.</t>
  </si>
  <si>
    <t>Trạng thái Travelife mới được doanh nghiệp công bố; primary directory chưa được truy xuất trong đợt rà.</t>
  </si>
  <si>
    <t>Six Senses Con Dao</t>
  </si>
  <si>
    <t>8/8 khía cạnh, nhiều dữ liệu định lượng cấp cơ sở</t>
  </si>
  <si>
    <t>Thông gió tự nhiên, vật liệu tái chế và sử dụng một phần năng lượng mặt trời; chưa có KPI cường độ hiện tại.</t>
  </si>
  <si>
    <t>Nước thải đã xử lý được tái sử dụng cho vườn và cảnh quan.</t>
  </si>
  <si>
    <t>97.656 chai nhựa tránh dùng; 305 kg nhựa chuyển hướng khỏi chôn lấp; 1.763 kg rác bãi biển thu gom.</t>
  </si>
  <si>
    <t>Vườn hữu cơ khoảng 3.000 m²; 5.641,7 kg rau tươi thu hoạch năm 2025.</t>
  </si>
  <si>
    <t>Bảo tồn rùa xanh; 3.818 rùa con nở và được thả về biển năm 2025, phối hợp với Vườn quốc gia Côn Đảo.</t>
  </si>
  <si>
    <t>Water for All với 12 máy lọc nước và 3.879 người hưởng lợi; 84 giờ dạy tiếng Anh cho cộng đồng.</t>
  </si>
  <si>
    <t>Thiết kế lấy cảm hứng từ làng chài Côn Đảo.</t>
  </si>
  <si>
    <t>Trải nghiệm thả rùa, Earth Lab, tour phát triển bền vững và hoạt động tại vườn.</t>
  </si>
  <si>
    <t>Có GSTC/Control Union; phần lớn KPI property vẫn là số liệu doanh nghiệp tự công bố</t>
  </si>
  <si>
    <t>Mango Bay Phu Quoc</t>
  </si>
  <si>
    <t>6/8 khía cạnh; nổi bật về vân hành sinh thái và tích hợp địa phương</t>
  </si>
  <si>
    <t>Thông gió tự nhiên, nước nóng năng lượng mặt trời, ánh sáng tự nhiên và thiết bị tiết kiệm năng lượng.</t>
  </si>
  <si>
    <t>Bồn cầu lưu lượng thấp, xử lý nước xám bằng bãi lọc trồng cây và tái sử dụng cho vườn/vườn ươm.</t>
  </si>
  <si>
    <t>Mua hàng số lượng lớn, tái chế giấy/kính và tái sử dụng chất thải hữu cơ.</t>
  </si>
  <si>
    <t>&gt;85% hoạt động mua hàng từ nhà cung cấp địa phương.</t>
  </si>
  <si>
    <t>Phối hợp với Wildlife At Risk và Vườn quốc gia Phú Quốc; khảo sát đa dạng sinh học và phục hồi cây bản địa.</t>
  </si>
  <si>
    <t>&gt;80% nhân viên địa phương.</t>
  </si>
  <si>
    <t>Thợ thủ công và vật liệu địa phương/recycled materials gắn với bối cảnh Phú Quốc.</t>
  </si>
  <si>
    <t>Trải nghiệm địa phương; bằng chứng hiện tại về mức tham gia hoặc tác động lên khách còn hạn chế.</t>
  </si>
  <si>
    <t>Một số bằng chứng biodiversity mang tính lịch sử; chưa tìm thấy current third-party certification.</t>
  </si>
  <si>
    <t>Avana Retreat</t>
  </si>
  <si>
    <t>6/8 khía cạnh; nổi bật về đa dạng sinh học, cộng đồng và văn hóa</t>
  </si>
  <si>
    <t>Thực hành giảm tác động trong vận hành; chưa thấy KPI hiện tại rõ về năng lượng.</t>
  </si>
  <si>
    <t>Thực hành tiết kiệm nước; chưa thấy KPI hiện tại rõ về cường độ nước.</t>
  </si>
  <si>
    <t>Giảm hoặc loại bỏ nhựa dùng một lần; chưa có số liệu giảm định lượng rõ.</t>
  </si>
  <si>
    <t>Vườn hữu cơ gắn với hoạt động ẩm thực; chưa có tỷ lệ thu mua địa phương định lượng.</t>
  </si>
  <si>
    <t>Phục hồi rừng; gần 12.000 cây đến 2025; 151 loài; BioScore tăng 24,6% theo đối tác bên ngoài.</t>
  </si>
  <si>
    <t>98% nhân viên địa phương; đội ngũ cảnh quan địa phương và hoạt động với nghệ nhân.</t>
  </si>
  <si>
    <t>Tri thức và văn hóa Thái, H’Mông, Mường được đưa vào kiến trúc, nghề thủ công và hoạt động trải nghiệm.</t>
  </si>
  <si>
    <t>Thăm vườn, thu hoạch, nấu ăn và workshop văn hóa/thủ công.</t>
  </si>
  <si>
    <t>Khoảng trống công khai về energy/water; có chênh lệch 90% và 98% local staff giữa nguồn cũ/mới.</t>
  </si>
  <si>
    <t>Silk Sense Hoi An River Resort</t>
  </si>
  <si>
    <t>8/8 khía cạnh; báo cáo vận hành chi tiết</t>
  </si>
  <si>
    <t>2,81 kWh/khách năm 2025; tổng điện giảm 12,4%.</t>
  </si>
  <si>
    <t>Nước giảm từ 0,71 xuống 0,68 m³/khách giai đoạn 2024–2025.</t>
  </si>
  <si>
    <t>1.536 kg rác chôn lấp năm 2025; gần 24 tấn rác hữu cơ xử lý bằng Waste2Green năm 2024; mở rộng loại bỏ nhựa dùng một lần.</t>
  </si>
  <si>
    <t>Tỷ lệ nhà cung cấp địa phương tăng từ 58% lên 80% năm 2025.</t>
  </si>
  <si>
    <t>Cây bản địa, mặt nước, không gian xanh và giáo dục đa dạng sinh học; chưa có KPI loài.</t>
  </si>
  <si>
    <t>95% nhân viên địa phương; gây quỹ 70 triệu đồng hỗ trợ vùng lũ.</t>
  </si>
  <si>
    <t>Thủ công, nguyên liệu và hoạt động văn hóa địa phương.</t>
  </si>
  <si>
    <t>Vườn hữu cơ, lớp nấu ăn và thông tin đa dạng sinh học trong hành trình khách.</t>
  </si>
  <si>
    <t>Một số số liệu diesel trong report không nhất quán nên đã loại khỏi comparison.</t>
  </si>
  <si>
    <t>Legacy Mekong</t>
  </si>
  <si>
    <t>4/8 khía cạnh; chủ yếu là dữ liệu lịch sử</t>
  </si>
  <si>
    <t>Hệ thống điện mặt trời 500 kWp là dữ liệu lịch sử; chưa có KPI hiện tại được xác minh.</t>
  </si>
  <si>
    <t>Chưa tìm thấy KPI hiện tại đủ cụ thể.</t>
  </si>
  <si>
    <t>Nguyên liệu địa phương và ẩm thực Mekong; chưa có tỷ lệ thu mua hiện tại.</t>
  </si>
  <si>
    <t>Bảo tồn cây trưởng thành và cảnh quan xanh; chưa có KPI đa dạng sinh học hiện tại.</t>
  </si>
  <si>
    <t>Chưa tìm thấy chương trình cộng đồng hiện tại có số liệu đủ cụ thể.</t>
  </si>
  <si>
    <t>Ẩm thực, vật liệu, thiết kế và trải nghiệm gắn với bản sắc Mekong.</t>
  </si>
  <si>
    <t>Các trải nghiệm hiện tại có trồng xương rồng, workshop, picnic, ẩm thực và hoạt động gắn với địa phương.</t>
  </si>
  <si>
    <t>Chưa tìm thấy KPI cụ thể về năng lượng, nước, chất thải, cộng đồng hoặc chứng nhận phát triển bền vững ở cấp cơ sở.</t>
  </si>
  <si>
    <t>Trọng tâm triển khai của các khu nghỉ dưỡng</t>
  </si>
  <si>
    <t>Trọng tâm triển khai</t>
  </si>
  <si>
    <t>Các hoạt động nổi bật</t>
  </si>
  <si>
    <t>Bảo tồn &amp; phục hồi hệ sinh thái; quản lý tài nguyên; cộng đồng &amp; giáo dục</t>
  </si>
  <si>
    <t>Có hệ thống năng lượng mặt trời, vườn hữu cơ và quản lý chất thải; đồng thời có bảo tồn voọc, san hô, rừng ngập mặn và nhiều chương trình cộng đồng. Earth Lab kết nối các hoạt động này với khách.</t>
  </si>
  <si>
    <t>Bảo tồn thiên nhiên; giáo dục &amp; trải nghiệm thiên nhiên; quản lý vận hành</t>
  </si>
  <si>
    <t>Bảo tồn linh trưởng được thể hiện qua cầu cho khỉ, trồng cây, naturalist và các chương trình giáo dục. Chủ đề này còn được đưa vào nhiều hoạt động dành cho khách như Green Hub, Kids activities, yoga và F&amp;B.</t>
  </si>
  <si>
    <t>Cộng đồng &amp; hòa nhập; văn hóa địa phương; đa dạng sinh học &amp; trải nghiệm</t>
  </si>
  <si>
    <t>Hỗ trợ đào tạo và cơ hội việc làm cho cộng đồng; thủ công địa phương; hoạt động với nghệ nhân và người khuyết tật; birdwatching và trải nghiệm văn hóa.</t>
  </si>
  <si>
    <t>Cộng đồng địa phương; thu mua địa phương; vận hành tiết kiệm tài nguyên</t>
  </si>
  <si>
    <t>Lao động địa phương, thu mua từ nông hộ, nghề thủ công và trải nghiệm văn hóa; các biện pháp tiết kiệm tài nguyên và giảm nhựa.</t>
  </si>
  <si>
    <t>Đo lường hiệu suất môi trường; giảm tác động tài nguyên; cộng đồng</t>
  </si>
  <si>
    <t>Có mục tiêu giảm 10% phát thải liên quan đến năng lượng, nước và chất thải đến cuối 2026, đã báo cáo mức giảm 3% đến cuối 2025; đồng thời công bố carbon/water footprint và các hoạt động cộng đồng.</t>
  </si>
  <si>
    <t>Bảo tồn loài gắn với trải nghiệm khách; quản lý tài nguyên &amp; chất thải; cộng đồng &amp; trải nghiệm</t>
  </si>
  <si>
    <t xml:space="preserve">Bảo tồn rùa là chương trình rất rõ với Vườn quốc gia Côn Đảo; song song có vườn hữu cơ, giảm nhựa, 2R Station, Water for All, lớp tiếng Anh và các hoạt động để khách tham gia. </t>
  </si>
  <si>
    <t>Vận hành ít tác động; cộng đồng &amp; kinh tế địa phương; bảo tồn thiên nhiên</t>
  </si>
  <si>
    <t>Thông gió tự nhiên, nước nóng năng lượng mặt trời, xử lý và tái sử dụng nước; giảm chất thải; thu mua và lao động địa phương; hỗ trợ bảo tồn Phú Quốc.</t>
  </si>
  <si>
    <t>Phục hồi hệ sinh thái; cộng đồng địa phương; văn hóa &amp; kiến trúc bản địa</t>
  </si>
  <si>
    <t>Có chương trình phục hồi rừng, gần 12.000 cây đến 2025 và BioScore tăng 24,6%; 98% nhân viên địa phương và nghệ nhân Thái, H’Mông, Mường tham gia vào kiến trúc, nghề thủ công và trải nghiệm.</t>
  </si>
  <si>
    <t>Đo lường hiệu suất vận hành; thu mua địa phương; tích hợp sustainability vào trải nghiệm</t>
  </si>
  <si>
    <t>Theo dõi điện, nước, chất thải và tỷ lệ nhà cung cấp địa phương; vườn hữu cơ; giảm nhựa; hoạt động văn hóa và giáo dục đa dạng sinh học.</t>
  </si>
  <si>
    <t>Bản sắc địa phương &amp; trải nghiệm; ẩm thực địa phương; khung quản lý cấp tập đoàn</t>
  </si>
  <si>
    <t>Ẩm thực Mekong, vật liệu và thiết kế gắn với địa phương, cùng các trải nghiệm liên quan đến đời sống và cảnh quan Mekong.</t>
  </si>
  <si>
    <t>Mức độ xác minh về dữ kiện được công khai</t>
  </si>
  <si>
    <t>Mã</t>
  </si>
  <si>
    <t>Ý nghĩa</t>
  </si>
  <si>
    <t>Cách hiểu</t>
  </si>
  <si>
    <t>Quản lý / tích hợp</t>
  </si>
  <si>
    <t>NB+ĐL</t>
  </si>
  <si>
    <t>Nguồn bên ngoài + dữ liệu định lượng</t>
  </si>
  <si>
    <t>Có nguồn bên ngoài xác nhận/đối chiếu và có chỉ số định lượng</t>
  </si>
  <si>
    <t>ĐL</t>
  </si>
  <si>
    <t>ĐT</t>
  </si>
  <si>
    <t>NB</t>
  </si>
  <si>
    <t>Có tên trong danh bạ GSTC; Control Union (GSTC-I), chu kỳ 2024–2027. Có thêm ghi nhận HICAP 2024.</t>
  </si>
  <si>
    <t>Nguồn bên ngoài</t>
  </si>
  <si>
    <t>Có chứng nhận/đối tác/đánh giá bên ngoài nhưng không có chỉ số định lượng phù hợp ở ô này</t>
  </si>
  <si>
    <t>Green Globe xác nhận chứng nhận công khai; khu nghỉ dưỡng cũng công bố Kế hoạch Quản lý Bền vững 2026–2027.</t>
  </si>
  <si>
    <t>Doanh nghiệp công bố định lượng</t>
  </si>
  <si>
    <t>Có số liệu/chỉ số do doanh nghiệp tự công bố</t>
  </si>
  <si>
    <t>TT</t>
  </si>
  <si>
    <t>BC</t>
  </si>
  <si>
    <t>Có tên trong danh bạ GSTC; Control Union (GSTC-I), chu kỳ 2025–2028. EarthCheck Gold 2022 chỉ dùng như bối cảnh lịch sử/cấp khu phức hợp.</t>
  </si>
  <si>
    <t>Doanh nghiệp công bố định tính</t>
  </si>
  <si>
    <t>Có thực hành/tuyên bố nhưng chưa có số liệu cụ thể</t>
  </si>
  <si>
    <t>Được xác nhận nhận Giải Khách sạn Xanh ASEAN 2026; xem đây là ghi nhận độc lập, không phải kiểm toán chứng nhận toàn bộ chỉ số.</t>
  </si>
  <si>
    <t>Thiếu minh chứng cụ thể</t>
  </si>
  <si>
    <t>Chưa tìm thấy bằng chứng ở cấp cơ sở đủ cụ thể trong phạm vi nguồn đã rà</t>
  </si>
  <si>
    <t>Marriott công bố trạng thái Travelife Certified; trong đợt rà soát công khai này chưa truy xuất được hồ sơ gốc từ danh bạ Travelife.</t>
  </si>
  <si>
    <t>Bối cảnh cấp khu phức hợp</t>
  </si>
  <si>
    <t>Thông tin thuộc khu nghỉ dưỡng tích hợp/điểm đến, không thể quy hoàn toàn cho cơ sở</t>
  </si>
  <si>
    <t>Có tên trong danh bạ GSTC; Control Union (GSTC-I), chu kỳ 2024–2027, mã GSTC HACU240332-1.</t>
  </si>
  <si>
    <t>LS</t>
  </si>
  <si>
    <t>Dữ liệu lịch sử</t>
  </si>
  <si>
    <t>Có bằng chứng trong quá khứ nhưng chưa xác nhận là hiện trạng năm 2026</t>
  </si>
  <si>
    <t>Chưa tìm thấy chứng nhận phát triển bền vững bên thứ ba còn hiệu lực trong các nguồn công khai đã rà.</t>
  </si>
  <si>
    <t>Có đánh giá đa dạng sinh học/văn hóa sinh học từ Guardians of Earth; đây là đánh giá bên ngoài, không phải chứng nhận phát triển bền vững của khách sạn.</t>
  </si>
  <si>
    <t>Khu nghỉ dưỡng công bố Travelife Gold và có Báo cáo Phát triển Bền vững chi tiết; chưa truy xuất được hồ sơ gốc từ danh bạ Travelife trong đợt rà này.</t>
  </si>
  <si>
    <t>Từ cuối năm 2025, khu nghỉ dưỡng thuộc Autograph Collection của Marriott và nằm trong định hướng quản lý phát triển bền vững cấp tập đoàn Serve 360. Tuy nhiên, chưa tìm thấy chứng nhận phát triển bền vững hiện hành hoặc bộ KPI môi trường – xã hội được công bố riêng ở cấp khu nghỉ dưỡng.</t>
  </si>
  <si>
    <t>Mức độ tiến triển của hoạt động</t>
  </si>
  <si>
    <t>Core &amp; supporting records</t>
  </si>
  <si>
    <t>Thực hành</t>
  </si>
  <si>
    <t>Đầu ra</t>
  </si>
  <si>
    <t>Tạo ra thay đổi</t>
  </si>
  <si>
    <t>Cam kết</t>
  </si>
  <si>
    <t>Tổng hợp minh chứng theo 8 khía cạnh</t>
  </si>
  <si>
    <t>Các khía cạnh</t>
  </si>
  <si>
    <t>Số khu nghỉ dưỡng có bằng chứng hiện tại</t>
  </si>
  <si>
    <t>Có dữ liệu định lượng</t>
  </si>
  <si>
    <t>Có nguồn bên ngoài</t>
  </si>
  <si>
    <t>Chỉ có bằng chứng định tính</t>
  </si>
  <si>
    <t>Chỉ có bối cảnh/lịch sử</t>
  </si>
  <si>
    <t>Tổng hợp minh chứng theo khu nghỉ dưỡng</t>
  </si>
  <si>
    <t>Số khía cạnh có bằng chứng hiện tại</t>
  </si>
  <si>
    <t>Số khía cạnh có dữ liệu định lượng</t>
  </si>
  <si>
    <t>Số khía cạnh có nguồn bên ngoài</t>
  </si>
  <si>
    <t>Số khía cạnh chỉ có định tính</t>
  </si>
  <si>
    <t>Số khía cạnh thiếu minh chứng</t>
  </si>
  <si>
    <t>Số khía cạnh chỉ có bối cảnh/lịch sử</t>
  </si>
  <si>
    <t>Tình trạng quản lý / xác minh</t>
  </si>
  <si>
    <t>Kết luận</t>
  </si>
  <si>
    <t>Độ phủ đủ 8 chiều; nổi bật về bằng chứng định lượng và nguồn đối chiếu bên ngoài ở đa dạng sinh học/cộng đồng.</t>
  </si>
  <si>
    <t>Độ phủ đủ 8 chiều; nhiều nội dung còn định tính, nhưng có xác minh bên ngoài về quản lý và một số nội dung khách/thiên nhiên.</t>
  </si>
  <si>
    <t>Bằng chứng công khai tập trung hơn vào quản lý, cộng đồng và trải nghiệm; chỉ số vận hành ở cấp cơ sở còn hạn chế.</t>
  </si>
  <si>
    <t>Mạnh về cộng đồng, thu mua địa phương và bản sắc địa phương; ít bằng chứng hiện tại về đa dạng sinh học định lượng.</t>
  </si>
  <si>
    <t>Có độ phủ đủ 8 chiều và một số chỉ số vận hành đã chuẩn hóa; ít nguồn ngoài được truy xuất công khai trong đợt rà.</t>
  </si>
  <si>
    <t>Độ phủ đủ 8 chiều, nhiều chỉ số định lượng ở cấp cơ sở; có xác minh quản lý qua GSTC.</t>
  </si>
  <si>
    <t>Nổi bật ở thu mua địa phương và cộng đồng; một phần bằng chứng đa dạng sinh học là dữ liệu lịch sử.</t>
  </si>
  <si>
    <t>Nổi bật ở cộng đồng và đa dạng sinh học; còn khoảng trống công khai ở năng lượng và nước.</t>
  </si>
  <si>
    <t>Độ phủ đủ 8 chiều và nhiều chỉ số vận hành định lượng/chuẩn hóa; nguồn ngoài còn hạn chế trong đợt rà công khai.</t>
  </si>
  <si>
    <t>Từ cuối 2025, khu nghỉ dưỡng thuộc Autograph Collection của Marriott và nằm trong khung phát triển bền vững cấp tập đoàn</t>
  </si>
  <si>
    <t>Đã có evidence về vài khía cạnh, nhưng dữ liệu định lượng và KPI môi trường, xã hội từ khu nghỉ dưỡng vẫn còn hạn chế</t>
  </si>
  <si>
    <t>Kết quả chính</t>
  </si>
  <si>
    <t>Minh chứng từ bộ dữ liệu</t>
  </si>
  <si>
    <t>Ý nghĩa phân tích</t>
  </si>
  <si>
    <t>Cần tránh kết luận</t>
  </si>
  <si>
    <t>1. Phạm vi công bố rộng nhưng mức độ minh chứng giữa các khía cạnh rất khác nhau.</t>
  </si>
  <si>
    <t>Văn hóa &amp; Di sản: 10/10 khu nghỉ dưỡng có thông tin nhưng 0/10 có dữ liệu định lượng. Cộng đồng &amp; Con người: 9/10 có thông tin hiện tại, trong đó 7/10 có dữ liệu định lượng.</t>
  </si>
  <si>
    <t>Việc một nội dung được đề cập nhiều không có nghĩa nội dung đó đã được đo lường đầy đủ.</t>
  </si>
  <si>
    <t>Không kết luận Văn hóa &amp; Di sản kém quan trọng chỉ vì thiếu KPI.</t>
  </si>
  <si>
    <t>2. Phát triển bền vững trong mẫu không chỉ xoay quanh môi trường; Cộng đồng &amp; Con người là một trong những khía cạnh được đo lường rõ nhất.</t>
  </si>
  <si>
    <t>Cộng đồng &amp; Con người: 9/10 có bằng chứng hiện tại, 7/10 có dữ liệu định lượng — cao hơn Năng lượng (3/10) và Nước (2/10).</t>
  </si>
  <si>
    <t>Có thể xem phát triển bền vững trong hospitality qua việc làm, đào tạo, thu mua địa phương và sinh kế, không chỉ qua điện, nước hay nhựa.</t>
  </si>
  <si>
    <t>Không suy ra tác động xã hội thực tế tốt hơn tác động môi trường chỉ vì có nhiều số liệu hơn.</t>
  </si>
  <si>
    <t>3. Hiệu suất môi trường vẫn khó so sánh trực tiếp giữa các khu nghỉ dưỡng.</t>
  </si>
  <si>
    <t>Năng lượng và Nước đều có bằng chứng hiện tại ở 7/10 khu nghỉ dưỡng; dữ liệu định lượng lần lượt là 3/10 và 2/10. Westin Cam Ranh và Silk Sense có chỉ số cường độ rõ theo đêm phòng/đêm khách.</t>
  </si>
  <si>
    <t>Dữ liệu công khai chưa đủ đồng nhất để so sánh hiệu quả sử dụng tài nguyên giữa các cơ sở.</t>
  </si>
  <si>
    <t>Không so sánh trực tiếp kWh, nước hay carbon nếu mẫu số và phạm vi đo khác nhau.</t>
  </si>
  <si>
    <t>4. Thông tin công bố vẫn thiên về thực hành và đầu ra hơn là thay đổi thực tế.</t>
  </si>
  <si>
    <t>Trong 108 mục cốt lõi + bổ trợ: 53 mục ở mức Thực hành, 44 mục ở mức Đầu ra, khoảng 10 mục cho thấy thay đổi và 1 mục là Cam kết.</t>
  </si>
  <si>
    <t>Các khu nghỉ dưỡng khá rõ về việc đã làm gì và tạo ra bao nhiêu, nhưng ít thông tin hơn về thay đổi dài hạn.</t>
  </si>
  <si>
    <t>Không coi đầu ra là tác động cuối cùng.</t>
  </si>
  <si>
    <t>5. Gắn kết khách hàng khá phổ biến nhưng ít được đo lường ở mức kết quả.</t>
  </si>
  <si>
    <t>Gắn kết khách hàng có bằng chứng hiện tại ở 9/10 khu nghỉ dưỡng; ma trận chưa có khu nghỉ dưỡng nào đạt nhóm định lượng ở cấp so sánh cho khía cạnh này.</t>
  </si>
  <si>
    <t>Phát triển bền vững đã đi vào trải nghiệm khách ở nhiều nơi, nhưng công bố chủ yếu cho biết hoạt động tồn tại hoặc số lượt tham gia, ít đo thay đổi nhận thức/hành vi.</t>
  </si>
  <si>
    <t>Không kết luận khách đã thay đổi hành vi nếu chưa có minh chứng.</t>
  </si>
  <si>
    <t>6. Xác minh bên ngoài tập trung nhiều hơn ở chứng nhận/quản lý và một số dự án đa dạng sinh học.</t>
  </si>
  <si>
    <t>GSTC/Green Globe xác minh ở cấp hệ thống quản lý; đa dạng sinh học có thêm GreenViet, Guardians of Earth… Trong khi nhiều KPI về năng lượng, chất thải và thu mua vẫn do doanh nghiệp tự công bố.</t>
  </si>
  <si>
    <t>Chứng nhận hệ thống và xác minh từng KPI là hai việc khác nhau.</t>
  </si>
  <si>
    <t>Không dùng chứng nhận để nói mọi KPI của khu nghỉ dưỡng đều đã được kiểm toán.</t>
  </si>
  <si>
    <t>7. Phạm vi công bố và mức độ mạnh của minh chứng là hai khái niệm khác nhau.</t>
  </si>
  <si>
    <t>InterContinental có thông tin ở 8/8 khía cạnh nhưng chỉ 1 khía cạnh có dữ liệu định lượng; Silk Sense cũng 8/8 nhưng có 5 khía cạnh định lượng. Banyan Tree có chứng nhận mạnh nhưng KPI vận hành ở cấp khu nghỉ dưỡng còn ít.</t>
  </si>
  <si>
    <t>Không thể đánh giá mức độ minh bạch chỉ bằng số khía cạnh hoặc số mục thông tin.</t>
  </si>
  <si>
    <t>Không chuyển kết quả thành bảng xếp hạng khu nghỉ dưỡng nào 'bền vững hơn'.</t>
  </si>
  <si>
    <t>Resort</t>
  </si>
  <si>
    <t>Năm</t>
  </si>
  <si>
    <t>Dimension</t>
  </si>
  <si>
    <t>Practice / Initiative</t>
  </si>
  <si>
    <t>Thông tin / Minh chứng chính</t>
  </si>
  <si>
    <t>Keep?</t>
  </si>
  <si>
    <t>Chỉ số</t>
  </si>
  <si>
    <t>Đơn vị</t>
  </si>
  <si>
    <t>Loại minh chứng</t>
  </si>
  <si>
    <t>Guest-facing?</t>
  </si>
  <si>
    <t>Evidence Stage</t>
  </si>
  <si>
    <t>Ghi chú</t>
  </si>
  <si>
    <t>Discussion Tag</t>
  </si>
  <si>
    <t>Operational Area(s)</t>
  </si>
  <si>
    <t>Mức độ tích hợp</t>
  </si>
  <si>
    <t>Nguồn</t>
  </si>
  <si>
    <t>Source Link</t>
  </si>
  <si>
    <t>2025</t>
  </si>
  <si>
    <t>Energy &amp; Climate</t>
  </si>
  <si>
    <t>Core</t>
  </si>
  <si>
    <t>kWh</t>
  </si>
  <si>
    <t>B – Doanh nghiệp công bố định lượng</t>
  </si>
  <si>
    <t>No – Back-of-house</t>
  </si>
  <si>
    <t>Output</t>
  </si>
  <si>
    <t>KPI định lượng rõ, nhưng là số liệu doanh nghiệp tự công bố; chưa cho biết cường độ sử dụng năng lượng hay mức giảm so với mốc cơ sở.</t>
  </si>
  <si>
    <t>Integration; Evidence &amp; Transparency</t>
  </si>
  <si>
    <t>Engineering / Sustainability</t>
  </si>
  <si>
    <t>Tích hợp vào vận hành</t>
  </si>
  <si>
    <t>Trang chính thức của khu nghỉ dưỡng</t>
  </si>
  <si>
    <t>Current review</t>
  </si>
  <si>
    <t>Data gap</t>
  </si>
  <si>
    <t>E – Chưa tìm thấy minh chứng cụ thể</t>
  </si>
  <si>
    <t>739.782 kWh là đầu ra của điện mặt trời, không cho biết tổng hiệu quả năng lượng của khu nghỉ dưỡng có cải thiện hay không.</t>
  </si>
  <si>
    <t>Evidence &amp; Transparency</t>
  </si>
  <si>
    <t xml:space="preserve"> </t>
  </si>
  <si>
    <t>https://www.sixsenses.com/en/hotels-resorts/asia-the-pacific/vietnam/ninh-van-bay/sustainability/</t>
  </si>
  <si>
    <t>Community Waste Care</t>
  </si>
  <si>
    <t>Giúp phân biệt quản trị cấp thương hiệu với hiệu suất công bố cấp khu nghỉ dưỡng.</t>
  </si>
  <si>
    <t>Management / Engineering / Sustainability</t>
  </si>
  <si>
    <t>Tích hợp ở hệ thống quản lý</t>
  </si>
  <si>
    <t>https://www.sixsenses.com/en/sustainability/impacts/</t>
  </si>
  <si>
    <t>Current</t>
  </si>
  <si>
    <t>Water</t>
  </si>
  <si>
    <t>Supporting</t>
  </si>
  <si>
    <t>C – Doanh nghiệp công bố định tính</t>
  </si>
  <si>
    <t>Practice</t>
  </si>
  <si>
    <t>Có mô tả thực hành nhưng chưa có KPI định lượng về lượng nước sử dụng hoặc tiết kiệm.</t>
  </si>
  <si>
    <t>Breadth; Evidence &amp; Transparency</t>
  </si>
  <si>
    <t>Composting</t>
  </si>
  <si>
    <t>Nên giữ để đối chiếu với các khu nghỉ dưỡng có KPI hiệu suất sử dụng nước nếu xuất hiện trong mẫu nghiên cứu.</t>
  </si>
  <si>
    <t>Waste &amp; Plastic</t>
  </si>
  <si>
    <t>156.288 chai nhựa dùng một lần được thay thế bằng chai thủy tinh tái sử dụng.</t>
  </si>
  <si>
    <t>bottles</t>
  </si>
  <si>
    <t>Yes – Visible</t>
  </si>
  <si>
    <t>Đầu ra dễ hiểu và có thể so sánh nếu khu nghỉ dưỡng khác cũng công bố chai nhựa tránh dùng; chưa phải chất thải kết quả tổng thể.</t>
  </si>
  <si>
    <t>Evidence &amp; Transparency; Integration</t>
  </si>
  <si>
    <t>F&amp;B / Rooms / Sustainability</t>
  </si>
  <si>
    <t>Tích hợp liên phòng ban</t>
  </si>
  <si>
    <t>kg waste</t>
  </si>
  <si>
    <t>Yes – Participatory</t>
  </si>
  <si>
    <t>Vừa là hoạt động về chất thải vừa có cộng đồng/sự tham gia của khách; khía cạnh chính là Chất thải &amp; Nhựa để tránh tính trùng.</t>
  </si>
  <si>
    <t>Community; Guest Experience; Integration</t>
  </si>
  <si>
    <t>Sustainability / Community / Experience</t>
  </si>
  <si>
    <t>Tích hợp với cộng đồng</t>
  </si>
  <si>
    <t>kg</t>
  </si>
  <si>
    <t>Cho thấy tuần hoàn trong vận hành, nhưng chưa biết tỷ lệ rác hữu cơ được phân hữu cơ trên tổng chất thải.</t>
  </si>
  <si>
    <t>F&amp;B / Gardens / Sustainability</t>
  </si>
  <si>
    <t>Quan trọng cho phần Thảo luận: nhiều đầu ra riêng lẻ không đồng nghĩa đã có chỉ số kết quả/hiệu suất tổng thể.</t>
  </si>
  <si>
    <t>Engineering / Sustainability / F&amp;B</t>
  </si>
  <si>
    <t>Food &amp; Procurement</t>
  </si>
  <si>
    <t>Yes – Visible / experience-linked</t>
  </si>
  <si>
    <t>Một thực hành liên kết thu mua và F&amp;B; phù hợp để phân tích tích hợp vào vận hành.</t>
  </si>
  <si>
    <t>Integration; Guest Experience</t>
  </si>
  <si>
    <t>F&amp;B / Procurement / Sustainability</t>
  </si>
  <si>
    <t>Mô tả có ý nghĩa nhưng chưa có tỷ lệ địa phương/thu mua có trách nhiệm cụ thể.</t>
  </si>
  <si>
    <t>Procurement / F&amp;B / Sustainability</t>
  </si>
  <si>
    <t>Giúp phân biệt thu mua commitment với mức độ thu mua được đo lường.</t>
  </si>
  <si>
    <t>2019–2025</t>
  </si>
  <si>
    <t>Biodiversity &amp; Ecosystems</t>
  </si>
  <si>
    <t>individuals</t>
  </si>
  <si>
    <t>Yes – Experience-integrated</t>
  </si>
  <si>
    <t>Outcome indicator</t>
  </si>
  <si>
    <t>Gần kết quả hơn hoạt động/đầu ra, nhưng không được suy ra toàn bộ mức tăng là causal effect của khu nghỉ dưỡng.</t>
  </si>
  <si>
    <t>Evidence &amp; Transparency; Interesting Case</t>
  </si>
  <si>
    <t>Sustainability / Biodiversity / Experience</t>
  </si>
  <si>
    <t>Tích hợp với khách / điểm đến</t>
  </si>
  <si>
    <t>coral fragments</t>
  </si>
  <si>
    <t>Rất giàu đầu ra chỉ sốs và có sự tham gia của khách; cần phân biệt phục hồi đầu ra với kết quả sinh thái.</t>
  </si>
  <si>
    <t>Guest Experience; Integration; Evidence &amp; Transparency</t>
  </si>
  <si>
    <t>Marine / Sustainability / Experience</t>
  </si>
  <si>
    <t>GreenViet cũng báo cáo giám sát dài hạn cho thấy quần thể từ 109 cá thể năm 2019 lên 211 cá thể năm 2025.</t>
  </si>
  <si>
    <t>D – Xác nhận từ đối tác bên ngoài</t>
  </si>
  <si>
    <t>Nguồn đối tác corrobotỷ lệs xu hướng đối tượng; GreenViet là đối tác bảo tồn nên không gọi là independent audit.</t>
  </si>
  <si>
    <t>Sustainability / Biodiversity / Research</t>
  </si>
  <si>
    <t>Tích hợp nghiên cứu / bảo tồn</t>
  </si>
  <si>
    <t>GreenViet</t>
  </si>
  <si>
    <t>https://greenviet.org/tin-tuc/6-nam-dong-hanh-bao-ton-cha-va-chan-den-dau-an-hop-tac-greenviet-six-senses-ninh-van-bay/</t>
  </si>
  <si>
    <t>2019–2024</t>
  </si>
  <si>
    <t>GreenViet báo cáo hơn 300 loài động, thực vật được ghi nhận; 7 loài động vật và 10 loài thực vật thuộc các danh sách quý hiếm.</t>
  </si>
  <si>
    <t>&gt; species</t>
  </si>
  <si>
    <t>No – Research-facing</t>
  </si>
  <si>
    <t>Nguồn đối tác giúp đối chiếu quy mô nghiên cứu đa dạng sinh học; phạm vi khác với con số 150 loài do khu nghỉ dưỡng công bố từ năm 2022.</t>
  </si>
  <si>
    <t>Biodiversity / Sustainability / Research</t>
  </si>
  <si>
    <t>https://greenviet.org/tin-tuc/thanh-tuu-xanh-tu-5-nam-hop-tac-giua-greenviet-va-six-senses-ninh-van-ba/</t>
  </si>
  <si>
    <t>2022–2025</t>
  </si>
  <si>
    <t>Water for All</t>
  </si>
  <si>
    <t>species</t>
  </si>
  <si>
    <t>Không gộp trực tiếp với số 300+ loài của GreenViet vì phạm vi/thời kỳ khác.</t>
  </si>
  <si>
    <t>trees</t>
  </si>
  <si>
    <t>No – Staff/community-facing</t>
  </si>
  <si>
    <t>Đầu ra phục hồi hệ sinh thái; chưa phải kết quả như survival tỷ lệ hoặc đa dạng sinh học change.</t>
  </si>
  <si>
    <t>Integration; Community</t>
  </si>
  <si>
    <t>Sustainability / HR / Community</t>
  </si>
  <si>
    <t>recorded event</t>
  </si>
  <si>
    <t>Đây là chỉ báo thay đổi sinh thái đáng chú ý, nhưng một lần quan sát chưa đủ để chứng minh tác động dài hạn.</t>
  </si>
  <si>
    <t>Interesting Case; Evidence &amp; Transparency</t>
  </si>
  <si>
    <t>Marine Biology / Sustainability</t>
  </si>
  <si>
    <t>GreenViet ghi nhận các loài quý hiếm qua camera trap như Cheo cheo lưng bạc, Tê tê Java, Cu li nhỏ/Mèo rừng; giai đoạn 2023–2025 tiếp tục có wildlife records.</t>
  </si>
  <si>
    <t>Appendix</t>
  </si>
  <si>
    <t>Cho thấy hoạt động theo dõi khoa học kéo dài, nhưng chưa có một KPI tổng hợp duy nhất để so sánh.</t>
  </si>
  <si>
    <t>Biodiversity / Research</t>
  </si>
  <si>
    <t>Community &amp; People</t>
  </si>
  <si>
    <t>&gt; students</t>
  </si>
  <si>
    <t>No – Community-facing</t>
  </si>
  <si>
    <t>Có đầu ra xã hội rõ nhưng chưa có longitudinal kết quả về việc làm/income/nghề nghiệp progression.</t>
  </si>
  <si>
    <t>Community; Evidence &amp; Transparency</t>
  </si>
  <si>
    <t>HR / Education / Community / Sustainability</t>
  </si>
  <si>
    <t>H1 2025</t>
  </si>
  <si>
    <t>Langur Discovery</t>
  </si>
  <si>
    <t>staff</t>
  </si>
  <si>
    <t>No – Staff-facing</t>
  </si>
  <si>
    <t>Minh chứng tốt cho góc nhìn quản lý/tích hợp: nhân viên được trang bị kiến thức để truyền tải tới khách.</t>
  </si>
  <si>
    <t>HR / Sustainability / Experience</t>
  </si>
  <si>
    <t>https://greenviet.org/tin-tuc/truyen-cam-hung-yeu-va-bao-ve-thien-nhien-tai-six-senses-ninh-van-bay/</t>
  </si>
  <si>
    <t>students &amp; teachers</t>
  </si>
  <si>
    <t>khía cạnh chính là cộng đồng &amp; People vì đây là cộng đồng access project, không phải KPI sử dụng nước trong khu nghỉ dưỡng.</t>
  </si>
  <si>
    <t>Community / Sustainability / Water</t>
  </si>
  <si>
    <t>people</t>
  </si>
  <si>
    <t>Không gộp với con số 457 sự tham gia của kháchs do GreenViet công bố; hai nguồn mô tả khác đối tượng.</t>
  </si>
  <si>
    <t>Sustainability / Community / Education</t>
  </si>
  <si>
    <t>2024–2025</t>
  </si>
  <si>
    <t>Năm 2025 lắp 18 hệ thống đèn năng lượng mặt trời; Six Senses cho biết dự án mang lợi ích cho hơn 1.330 người trong 2024–2025.</t>
  </si>
  <si>
    <t>&gt; people benefited</t>
  </si>
  <si>
    <t>Dùng cộng đồng &amp; People làm khía cạnh chính vì chỉ số chính là người hưởng lợi reach, dù giải pháp dùng điện mặt trời.</t>
  </si>
  <si>
    <t>Community; Integration</t>
  </si>
  <si>
    <t>Community / Sustainability</t>
  </si>
  <si>
    <t>https://www.sixsenses.com/vn/hotels-resorts/asia-the-pacific/vietnam/ninh-van-bay/sustainability/</t>
  </si>
  <si>
    <t>đối tác corroboration cho social/cộng đồng dimension.</t>
  </si>
  <si>
    <t>Community</t>
  </si>
  <si>
    <t>Sustainability / Education / Community</t>
  </si>
  <si>
    <t>Giúp kiểm tra social phát triển bền vững có đi từ programme đầu ra tới việc làm kết quả hay chưa.</t>
  </si>
  <si>
    <t>HR / Community / Sustainability</t>
  </si>
  <si>
    <t>Culture &amp; Heritage</t>
  </si>
  <si>
    <t>Có mô tả việc giới thiệu văn hóa, nhưng nguồn đã rà chưa cung cấp thực hành/chỉ số văn hóa cụ thể hơn.</t>
  </si>
  <si>
    <t>Breadth; Guest Experience; Evidence &amp; Transparency</t>
  </si>
  <si>
    <t>Experience / Sustainability / Culture</t>
  </si>
  <si>
    <t>Tích hợp vào trải nghiệm khách</t>
  </si>
  <si>
    <t>No – Governance</t>
  </si>
  <si>
    <t>Không có công khai minh chứng cụ thể không đồng nghĩa khu nghỉ dưỡng không thực hiện; chỉ phản ánh công bố được tìm thấy.</t>
  </si>
  <si>
    <t>Culture / Experience / Sustainability</t>
  </si>
  <si>
    <t>Guest Engagement</t>
  </si>
  <si>
    <t>guests</t>
  </si>
  <si>
    <t>Minh chứng trực tiếp từ đối tác về trải nghiệm phát triển bền vững có sự tham gia của khách.</t>
  </si>
  <si>
    <t>Guest Experience; Integration</t>
  </si>
  <si>
    <t>Experience / Biodiversity / Sustainability</t>
  </si>
  <si>
    <t>GreenViet báo cáo 457 lượt du khách tham gia Step into the Wild, Langur Talk, Flora Walk hoặc Nature Hike trong năm 2025.</t>
  </si>
  <si>
    <t>guest participations</t>
  </si>
  <si>
    <t>Không gộp với con số 457 người dân địa phương/học sinh, sinh viên do Six Senses công bố; đây là lượt khách tham gia theo GreenViet.</t>
  </si>
  <si>
    <t>Guest Experience; Evidence &amp; Transparency</t>
  </si>
  <si>
    <t>Cho thấy phát triển bền vững được đóng gói thành trải nghiệm học hỏi, không chỉ truyền thông thụ động.</t>
  </si>
  <si>
    <t>Experience / Biodiversity</t>
  </si>
  <si>
    <t>2026–2027</t>
  </si>
  <si>
    <t>Có quy trình quản lý rõ nhưng chưa thấy KPI cường độ sử dụng năng lượng/cấp khu nghỉ dưỡng mức giảm cụ thể trong nguồn này.</t>
  </si>
  <si>
    <t>Kế hoạch Quản lý Phát triển bền vững của khu nghỉ dưỡng</t>
  </si>
  <si>
    <t>https://www.danang.intercontinental.com/wp-content/uploads/2025/11/SUSTAINABILITY-MANAGEMENT-PLAN-2026-2027.pdf</t>
  </si>
  <si>
    <t>Plan nêu giám sát nguồn nước/nước thải, dùng thiết bị tiết kiệm nước, tái sử dụng nước phù hợp và khuyến khích towel/linen reuse.</t>
  </si>
  <si>
    <t>Mixed</t>
  </si>
  <si>
    <t>Thể hiện quản lý nước đã đi vào vận hành và khách hành vi, nhưng chưa có cường độ sử dụng nước KPI công khai trong nguồn rà soát.</t>
  </si>
  <si>
    <t>Integration; Guest Experience; Evidence &amp; Transparency</t>
  </si>
  <si>
    <t>Engineering / Housekeeping / Rooms / Sustainability</t>
  </si>
  <si>
    <t>2026</t>
  </si>
  <si>
    <t>D – Xác nhận từ nguồn chứng nhận bên ngoài</t>
  </si>
  <si>
    <t>Nguồn chứng nhận bên ngoài xác nhận một biện pháp xử lý nước cụ thể; đây không phải KPI về lượng nước tiêu thụ.</t>
  </si>
  <si>
    <t>Engineering / Pools / Sustainability</t>
  </si>
  <si>
    <t>Green Globe</t>
  </si>
  <si>
    <t>https://www.greenglobe.com/news/intercontinental-danang-sun-peninsula-resort</t>
  </si>
  <si>
    <t>thực hành trải qua F&amp;B, quản lý chất thải và bao bì dành cho khách; chưa thấy tổng tỷ lệ chuyển hướng chất thải.</t>
  </si>
  <si>
    <t>F&amp;B / Engineering / Housekeeping / Sustainability</t>
  </si>
  <si>
    <t>Cho thấy thu mua và F&amp;B được đưa vào phát triển bền vững khung; chưa có % địa phương thu mua.</t>
  </si>
  <si>
    <t>Breadth; Integration</t>
  </si>
  <si>
    <t>Seedlings Mentorship</t>
  </si>
  <si>
    <t>monkey bridges</t>
  </si>
  <si>
    <t>chỉ số là hạ tầng hỗ trợ wildlife, không phải kết quả của quần thể động vật.</t>
  </si>
  <si>
    <t>Sustainability / Engineering / Landscaping / Experience</t>
  </si>
  <si>
    <t>Trang Thiên nhiên &amp; Động vật hoang dã chính thức của khu nghỉ dưỡng</t>
  </si>
  <si>
    <t>https://www.danang.intercontinental.com/sustainability/nature-wildlife/</t>
  </si>
  <si>
    <t>&gt; species in surrounding reserve</t>
  </si>
  <si>
    <t>No – Context</t>
  </si>
  <si>
    <t>Output / context</t>
  </si>
  <si>
    <t>Đây là bối cảnh cho thấy độ nhạy sinh thái của khu vực, không phải kết quả đa dạng sinh học do khu nghỉ dưỡng tạo ra và không nhất thiết là số loài ghi nhận trong ranh giới khu nghỉ dưỡng.</t>
  </si>
  <si>
    <t>Biodiversity; Evidence &amp; Transparency</t>
  </si>
  <si>
    <t>Sustainability / Landscaping / Destination</t>
  </si>
  <si>
    <t>Bối cảnh điểm đến</t>
  </si>
  <si>
    <t>Cam kết Môi trường của khu nghỉ dưỡng</t>
  </si>
  <si>
    <t>https://www.danang.intercontinental.com/sustainability/environmental-commitment/</t>
  </si>
  <si>
    <t>Có tích hợp vào hoạt động nhân sự nhưng chưa thấy KPI công khai về tỷ lệ lao động địa phương hay kết quả việc làm.</t>
  </si>
  <si>
    <t>Breadth; Community; Evidence &amp; Transparency</t>
  </si>
  <si>
    <t>HR / Community / Learning &amp; Development</t>
  </si>
  <si>
    <t>Cam kết Xã hội – Văn hóa của khu nghỉ dưỡng</t>
  </si>
  <si>
    <t>https://www.danang.intercontinental.com/sustainability/sociocultural-commitment/</t>
  </si>
  <si>
    <t>Phù hợp để minh họa khía cạnh xã hội của phát triển bền vững; chưa nên gộp các chương trình thành một kết quả duy nhất.</t>
  </si>
  <si>
    <t>Community; Breadth</t>
  </si>
  <si>
    <t>Community / HR / Sustainability</t>
  </si>
  <si>
    <t>Trang Cộng đồng địa phương chính thức của khu nghỉ dưỡng</t>
  </si>
  <si>
    <t>https://www.danang.intercontinental.com/sustainability/local-community/</t>
  </si>
  <si>
    <t>Mức độ tích hợp văn hóa được mô tả khá rõ nhưng chưa có chỉ số/kết quả cụ thể.</t>
  </si>
  <si>
    <t>Design / Experience / Communications</t>
  </si>
  <si>
    <t>Prior year reported by Green Globe</t>
  </si>
  <si>
    <t>participants (&gt;)</t>
  </si>
  <si>
    <t>Nguồn bên ngoài giúp đối chiếu hoạt động gắn kết khách. Bài viết không cho thấy phương pháp đếm lượt tham gia đã được kiểm toán độc lập.</t>
  </si>
  <si>
    <t>Experience / Sustainability / Biodiversity</t>
  </si>
  <si>
    <t>Minh chứng trực tiếp cho việc phát triển bền vững/bảo tồn thiên nhiên trở thành một phần của trải nghiệm khách.</t>
  </si>
  <si>
    <t>Laguna Lăng Cô có dữ liệu phát triển bền vững ở cấp khu phức hợp, nhưng không nên tự động gán toàn bộ số liệu này cho Banyan Tree Lang Co.</t>
  </si>
  <si>
    <t>https://www.banyantree.com/vietnam/lang-co/sustainability</t>
  </si>
  <si>
    <t>Tách riêng với số liệu hạ tầng của khu phức hợp Laguna Lăng Cô để tránh gán sai phạm vi.</t>
  </si>
  <si>
    <t>Rà soát nghiên cứu</t>
  </si>
  <si>
    <t>Current integrated-resort disclosure</t>
  </si>
  <si>
    <t>m³ wastewater treated</t>
  </si>
  <si>
    <t>Phạm vi là toàn Laguna Lăng Cô; KHÔNG dùng chỉ số này như khu nghỉ dưỡng-KPI cụ thể của Banyan Tree. Có thể dùng để minh họa phát triển bền vững hạ tầng chung của điểm đến.</t>
  </si>
  <si>
    <t>Khu phức hợp Laguna Lăng Cô</t>
  </si>
  <si>
    <t>https://www.lagunalangco.com/sustainability/</t>
  </si>
  <si>
    <t>Khoảng trống công bố ở cấp khu nghỉ dưỡng; không thay bằng số liệu của toàn khu phức hợp.</t>
  </si>
  <si>
    <t>Housekeeping / F&amp;B / Sustainability</t>
  </si>
  <si>
    <t>glass bottles produced on-site</t>
  </si>
  <si>
    <t>Phạm vi là toàn Laguna Lăng Cô; giữ làm bối cảnh, không so sánh trực tiếp với cấp khu nghỉ dưỡng KPI chất thải của khu nghỉ dưỡng khác.</t>
  </si>
  <si>
    <t>Engineering / F&amp;B / Sustainability</t>
  </si>
  <si>
    <t>Giữ để phân biệt cam kết thu mua với kết quả thu mua đã được đo lường.</t>
  </si>
  <si>
    <t>signature bird species</t>
  </si>
  <si>
    <t>Output / practice</t>
  </si>
  <si>
    <t>Có số liệu định lượng cho trải nghiệm đa dạng sinh học dành cho khách, nhưng đây không phải chỉ báo kết quả về quần thể sinh thái.</t>
  </si>
  <si>
    <t>Guest Experience; Biodiversity; Integration</t>
  </si>
  <si>
    <t>Trang đa dạng sinh học của Banyan Tree Lang Co</t>
  </si>
  <si>
    <t>https://www.banyantree.com/vietnam/lang-co/biodiversity-at-banyan-tree-lang-co</t>
  </si>
  <si>
    <t>Dành cho khách đa dạng sinh học minh chứng; chưa phải kết quả sinh thái.</t>
  </si>
  <si>
    <t>Guest Experience; Biodiversity</t>
  </si>
  <si>
    <t>Experience / Sustainability</t>
  </si>
  <si>
    <t>Banyan Tree Lang Co Stay for Good</t>
  </si>
  <si>
    <t>https://www.banyantree.com/vietnam/lang-co/experiences/stay-for-good</t>
  </si>
  <si>
    <t>Since 2015</t>
  </si>
  <si>
    <t>Cho thấy social phát triển bền vững đi theo hướng phát triển dài hạn thay vì chỉ donation một lần; chưa thấy kết quả học tập dài hạn.</t>
  </si>
  <si>
    <t>Community; Breadth; Evidence &amp; Transparency</t>
  </si>
  <si>
    <t>Community / Sustainability / HR</t>
  </si>
  <si>
    <t>Banyan Tree Lang Co Sustainability</t>
  </si>
  <si>
    <t>Chương trình đào tạo nghề dành cho thanh niên khó khăn 18–24 tuổi, hướng tới kỹ năng nghề và cơ hội việc làm.</t>
  </si>
  <si>
    <t>Có link rõ với human capital/việc làm nhưng chưa thấy số học viên hoặc placement tỷ lệ công khai trên trang.</t>
  </si>
  <si>
    <t>Community / HR / Learning &amp; Development</t>
  </si>
  <si>
    <t>Một example về cộng đồng sinh kế; chưa có income/chỉ số kết quả.</t>
  </si>
  <si>
    <t>Stay for Good giới thiệu các hoạt động thủ công/câu chuyện địa phương gắn với cộng đồng và trải nghiệm khách.</t>
  </si>
  <si>
    <t>Có tích hợp yếu tố văn hóa nhưng trang công khai chưa cung cấp kết quả định lượng về văn hóa.</t>
  </si>
  <si>
    <t>Breadth; Guest Experience; Community</t>
  </si>
  <si>
    <t>Experience / Culture / Community</t>
  </si>
  <si>
    <t>Cho thấy phát triển bền vững/cộng đồng không chỉ ở back-of-house mà được chuyển thành trải nghiệm khách.</t>
  </si>
  <si>
    <t>Experience / Community / Sustainability</t>
  </si>
  <si>
    <t>Có mô tả rõ thực hành năng lượng tái tạo/tiết kiệm, nhưng chưa công bố KPI hiện tại về kWh, cường độ năng lượng hoặc carbon.</t>
  </si>
  <si>
    <t>Engineering / Operations</t>
  </si>
  <si>
    <t>Topas Sustainable Development + ASEAN Green Hotel 2026 page</t>
  </si>
  <si>
    <t>https://topasecolodge.com/topas-ecolodge-recognized-as-asean-green-hotel-2026/</t>
  </si>
  <si>
    <t>Hệ thống nước được mô tả rõ, nhưng nguồn công khai vẫn chưa cung cấp tổng lượng nước sử dụng hoặc cường độ nước.</t>
  </si>
  <si>
    <t>Engineering / Housekeeping / F&amp;B</t>
  </si>
  <si>
    <t>Topas Sustainable Development + ASEAN Green Hotel 2026 disclosure</t>
  </si>
  <si>
    <t>Có tuần hoàn link giữa khu nghỉ dưỡng và cộng đồng, nhưng thiếu tỷ lệ chuyển hướng chất thải.</t>
  </si>
  <si>
    <t>Integration; Community; Evidence &amp; Transparency</t>
  </si>
  <si>
    <t>F&amp;B / Engineering / Community</t>
  </si>
  <si>
    <t>Topas Sustainable Development</t>
  </si>
  <si>
    <t>https://topasecolodge.com/sustainable-development/</t>
  </si>
  <si>
    <t>Có mô tả khá rộng về thực hành hiện tại; chưa có KPI tổng khối lượng nhựa hoặc số chai giảm được trên trang.</t>
  </si>
  <si>
    <t>Rooms / F&amp;B / Housekeeping / Procurement</t>
  </si>
  <si>
    <t>Topas Ecolodge – ASEAN Green Hotel 2026 page</t>
  </si>
  <si>
    <t>% food &amp; restaurant supplies sourced locally (&gt;)</t>
  </si>
  <si>
    <t>Thông tin mới hơn và rộng hơn ví dụ cũ về '3 nông hộ trong bán kính 15 km'. Tuy nhiên đây vẫn là số liệu doanh nghiệp tự công bố và chưa có mẫu số theo giá trị mua hàng/phương pháp kiểm toán.</t>
  </si>
  <si>
    <t>Community; Integration; Evidence &amp; Transparency</t>
  </si>
  <si>
    <t>F&amp;B / Procurement / Community</t>
  </si>
  <si>
    <t>Nguồn rà soát cho thấy khu nghỉ dưỡng nằm trong cảnh quan Hoàng Liên và có nhiều hoạt động bảo vệ môi trường, nhưng chưa tìm thấy KPI kết quả đa dạng sinh học cụ thể.</t>
  </si>
  <si>
    <t>Sustainability / Environment</t>
  </si>
  <si>
    <t>https://topasecolodge.com/sustainable-tourism/</t>
  </si>
  <si>
    <t>% staff local ethnic minorities (&gt;)</t>
  </si>
  <si>
    <t>Sử dụng số liệu công bố mới nhất năm 2026; các trang chính thức cũ hơn nêu khoảng 90%, nên có thể khác thời điểm hoặc cách định nghĩa.</t>
  </si>
  <si>
    <t>HR / Community</t>
  </si>
  <si>
    <t>Culture gắn cả thu mua/cộng đồng và trải nghiệm khách; chưa có kết quả bảo tồn định lượng.</t>
  </si>
  <si>
    <t>Breadth; Community; Guest Experience</t>
  </si>
  <si>
    <t>Culture / Procurement / Experience / Community</t>
  </si>
  <si>
    <t>khách được tham gia vào phát triển bền vững/culture thay vì chỉ nhận truyền thông thụ động.</t>
  </si>
  <si>
    <t>Experience / Housekeeping / Culture</t>
  </si>
  <si>
    <t>Hoạt động phát triển bền vững dành cho khách hiện tại; chưa tìm thấy số lượt tham gia công khai.</t>
  </si>
  <si>
    <t>Guest Experience; Community; Integration</t>
  </si>
  <si>
    <t>Experience / Sustainability / Community</t>
  </si>
  <si>
    <t>2025–2026</t>
  </si>
  <si>
    <t>% reduction achieved</t>
  </si>
  <si>
    <t>Cần giữ đúng phạm vi của tài liệu; không suy ra 3% chỉ từ năng lượng.</t>
  </si>
  <si>
    <t>Engineering / Sustainability / Operations</t>
  </si>
  <si>
    <t>Marriott Sustainability in Action</t>
  </si>
  <si>
    <t>https://www.marriott.com/content/dam/marriott-digital/wi/apec/hws/c/cxrwi/en_us/document/assets/wi-cxrwi-sustainability-in-action-12187.pdf</t>
  </si>
  <si>
    <t>kg CO2e / room night</t>
  </si>
  <si>
    <t>KPI cường độ giúp theo dõi hiệu suất tốt hơn; số liệu vẫn do doanh nghiệp tự công bố.</t>
  </si>
  <si>
    <t>Trang tổng quan khu nghỉ dưỡng trên Marriott</t>
  </si>
  <si>
    <t>https://www.marriott.com/en-us/hotels/cxrwi-the-westin-resort-and-spa-cam-ranh/overview/</t>
  </si>
  <si>
    <t>liters / room night</t>
  </si>
  <si>
    <t>Đây là một trong số ít chỉ số cường độ trong mẫu nghiên cứu; vẫn là số liệu doanh nghiệp tự công bố.</t>
  </si>
  <si>
    <t>plastic bottles avoided (&gt;)</t>
  </si>
  <si>
    <t>Dành cho khách chất thải initiative có chỉ số rõ.</t>
  </si>
  <si>
    <t>Guest Experience; Evidence &amp; Transparency; Integration</t>
  </si>
  <si>
    <t>Rooms / F&amp;B / Sustainability</t>
  </si>
  <si>
    <t>Trang Trải nghiệm / phát triển bền vững của khu nghỉ dưỡng trên Marriott</t>
  </si>
  <si>
    <t>https://www.marriott.com/en-us/hotels/cxrwi-the-westin-resort-and-spa-cam-ranh/experiences/</t>
  </si>
  <si>
    <t>thực hành được công bố nhưng không có tỷ lệ chuyển hướng/tái chế.</t>
  </si>
  <si>
    <t>Housekeeping / Rooms</t>
  </si>
  <si>
    <t>Thực hành thu mua có trách nhiệm được mô tả cụ thể nhưng chưa được định lượng ở cấp khu nghỉ dưỡng.</t>
  </si>
  <si>
    <t>F&amp;B / Procurement</t>
  </si>
  <si>
    <t>Trang Trải nghiệm của khu nghỉ dưỡng trên Marriott</t>
  </si>
  <si>
    <t>https://www.marriott.com/vi/hotels/cxrwi-the-westin-resort-and-spa-cam-ranh/experiences/</t>
  </si>
  <si>
    <t>Commitment</t>
  </si>
  <si>
    <t>Dùng để cho thấy phạm vi cam kết; không diễn giải thành hiệu suất đa dạng sinh học đã được đo lường.</t>
  </si>
  <si>
    <t>Sustainability / Landscaping / Operations</t>
  </si>
  <si>
    <t>USD raised in 2025</t>
  </si>
  <si>
    <t>Yes – Community participation</t>
  </si>
  <si>
    <t>Có đầu ra xã hội cụ thể và mục tiêu tương lai, nhưng chưa chứng minh tác động dài hạn với người hưởng lợi.</t>
  </si>
  <si>
    <t>Community; Guest Experience; Evidence &amp; Transparency</t>
  </si>
  <si>
    <t>HR / Community / Front Office / Associates</t>
  </si>
  <si>
    <t>Marriott Sustainability in Action / property overview</t>
  </si>
  <si>
    <t>Cultural/thiết kế interpretation, không phải heritage bảo tồn kết quả.</t>
  </si>
  <si>
    <t>Breadth; Guest Experience</t>
  </si>
  <si>
    <t>Design / Guest Experience</t>
  </si>
  <si>
    <t>Yes – Visible / participatory</t>
  </si>
  <si>
    <t>Có hoạt động gắn kết khách nhưng chưa công bố tỷ lệ/số lượt tham gia.</t>
  </si>
  <si>
    <t>Front Office / Rooms / Sustainability / Community</t>
  </si>
  <si>
    <t>Cho thấy năng lượng/thiết kế được tích hợp vào vận hành, nhưng chưa có KPI hiện tại về cường độ năng lượng hoặc sản lượng điện mặt trời ở cấp khu nghỉ dưỡng.</t>
  </si>
  <si>
    <t>Design / Engineering / Sustainability</t>
  </si>
  <si>
    <t>Six Senses Con Dao certification announcement</t>
  </si>
  <si>
    <t>https://www.sixsensescondao.com/six-senses-con-dao-achieves-prestigious-certification-by-control-union-a-gstc-accredited-certification-body/</t>
  </si>
  <si>
    <t>Tuần hoàn nước trong vận hành; chưa có tổng lượng/tỷ lệ tái sử dụng.</t>
  </si>
  <si>
    <t>Engineering / Landscaping / Sustainability</t>
  </si>
  <si>
    <t>Trang phát triển bền vững chính thức của khu nghỉ dưỡng</t>
  </si>
  <si>
    <t>https://www.sixsenses.com/en/hotels-resorts/asia-the-pacific/vietnam/con-dao/sustainability/</t>
  </si>
  <si>
    <t>plastic bottles avoided</t>
  </si>
  <si>
    <t>Đây là đầu ra chất thải có số liệu cụ thể, nhưng chưa phản ánh tổng lượng nhựa của khu nghỉ dưỡng.</t>
  </si>
  <si>
    <t>kg plastic diverted</t>
  </si>
  <si>
    <t>No – Community/destination-facing</t>
  </si>
  <si>
    <t>Có nêu rõ đối tác, nhưng con số vẫn lấy từ công bố của Six Senses nếu chưa có nguồn riêng đối chiếu.</t>
  </si>
  <si>
    <t>Community; Waste; Evidence &amp; Transparency</t>
  </si>
  <si>
    <t>Sustainability / Community / External partners</t>
  </si>
  <si>
    <t>kg trash collected</t>
  </si>
  <si>
    <t>cộng đồng/điểm đến hoạt động về chất thải; không phải khu nghỉ dưỡng chất thải-chuyển hướng KPI.</t>
  </si>
  <si>
    <t>Community; Biodiversity; Evidence &amp; Transparency</t>
  </si>
  <si>
    <t>Sustainability / Community / National Park</t>
  </si>
  <si>
    <t>kg fresh vegetables</t>
  </si>
  <si>
    <t>Onsite sản xuất minh chứng; chưa có % tổng F&amp;B demand được đáp ứng.</t>
  </si>
  <si>
    <t>F&amp;B / Sustainability / Procurement</t>
  </si>
  <si>
    <t>turtles hatched/released</t>
  </si>
  <si>
    <t>Đầu ra bảo tồn khá rõ, nhưng không nên tự suy ra tác động dài hạn tới quần thể.</t>
  </si>
  <si>
    <t>Guest Experience; Biodiversity; Evidence &amp; Transparency</t>
  </si>
  <si>
    <t>Sustainability / National Park / Experience</t>
  </si>
  <si>
    <t>community beneficiaries</t>
  </si>
  <si>
    <t>Có chỉ số đầu ra xã hội rõ, nhưng chưa nên diễn giải thành kết quả sức khỏe dài hạn.</t>
  </si>
  <si>
    <t>hours</t>
  </si>
  <si>
    <t>Trang tiếng Anh báo cáo 84 giờ năm 2025; tiêu đề trang tiếng Việt cũng ghi 84 giờ nhưng phần nội dung chi tiết lại ghi 94 giờ. Giữ 84 giờ vì nhất quán giữa tiêu đề và trang tiếng Anh, đồng thời ghi nhận chênh lệch nội bộ của nguồn.</t>
  </si>
  <si>
    <t>Community / Learning &amp; Development</t>
  </si>
  <si>
    <t>Cultural interpretation through thiết kế; chưa phải heritage kết quả.</t>
  </si>
  <si>
    <t>Design / Culture / Experience</t>
  </si>
  <si>
    <t>Trang chính thức của Six Senses</t>
  </si>
  <si>
    <t>Một case rõ về bảo tồn trở thành hospitality experience.</t>
  </si>
  <si>
    <t>Guest Experience; Integration; Biodiversity</t>
  </si>
  <si>
    <t>Experience / Sustainability / National Park</t>
  </si>
  <si>
    <t>Cho thấy phát triển bền vững được tích hợp rộng hơn bảo tồn rùa; chưa tìm thấy KPI tổng hợp về lượt khách tham gia.</t>
  </si>
  <si>
    <t>Experience / F&amp;B / Sustainability</t>
  </si>
  <si>
    <t>Các trang chính thức của Six Senses Con Dao</t>
  </si>
  <si>
    <t>thiết kế-led năng lượng sttỷ lệgy, nhưng chưa thấy cường độ sử dụng năng lượng/carbon KPI.</t>
  </si>
  <si>
    <t>Design / Engineering / Rooms</t>
  </si>
  <si>
    <t>Trang Giới thiệu / Staying Green chính thức của Mango Bay</t>
  </si>
  <si>
    <t>https://mangobayphuquoc.com/en/about/</t>
  </si>
  <si>
    <t>Có mô tả cụ thể cách xử lý/tái sử dụng nước, nhưng chưa công bố tổng lượng nước hằng năm hoặc cường độ sử dụng nước.</t>
  </si>
  <si>
    <t>Chất thải tuần hoàn thực hành nhưng thiếu chất thải chuyển hướng KPI.</t>
  </si>
  <si>
    <t>Procurement / F&amp;B / Housekeeping</t>
  </si>
  <si>
    <t>% purchasing local suppliers (&gt;)</t>
  </si>
  <si>
    <t>Một quantified thu mua chỉ số mạnh; cần giữ đúng cách định nghĩa purchasing của khu nghỉ dưỡng.</t>
  </si>
  <si>
    <t>Procurement / F&amp;B / Community</t>
  </si>
  <si>
    <t>Historical / ongoing programme</t>
  </si>
  <si>
    <t>Wildlife At Risk mô tả các khảo sát đa dạng sinh học tại Phú Quốc và hoạt động có liên quan Mango Bay, gồm survey butterflies/dragonflies và pilot butterfly breeding.</t>
  </si>
  <si>
    <t>đối tác source giúp giảm phụ thuộc vào khu nghỉ dưỡng self-report; không coi survey counts là kết quả của khu nghỉ dưỡng.</t>
  </si>
  <si>
    <t>Evidence &amp; Transparency; Biodiversity</t>
  </si>
  <si>
    <t>Sustainability / Conservation partner</t>
  </si>
  <si>
    <t>Wildlife At Risk – Phu Quoc Programme</t>
  </si>
  <si>
    <t>https://wildlifeatrisk.org/2019/01/29/phu-quoc-programme/</t>
  </si>
  <si>
    <t>Since 2006 / historical partner evidence</t>
  </si>
  <si>
    <t>No – Conservation-facing</t>
  </si>
  <si>
    <t>Hoạt động bảo tồn kéo dài nhiều năm; chưa tìm thấy KPI về tỷ lệ sống hoặc kết quả sinh cảnh.</t>
  </si>
  <si>
    <t>Biodiversity; Community; Evidence &amp; Transparency</t>
  </si>
  <si>
    <t>Sustainability / External partner / National Park</t>
  </si>
  <si>
    <t>Trang Giới thiệu chính thức của Mango Bay</t>
  </si>
  <si>
    <t>% staff local (&gt;)</t>
  </si>
  <si>
    <t>Có chỉ số xã hội/con người rõ; dữ liệu do doanh nghiệp tự công bố.</t>
  </si>
  <si>
    <t>Có tích hợp yếu tố văn hóa/địa phương, nhưng chưa có chỉ số kết quả về bảo tồn di sản.</t>
  </si>
  <si>
    <t>Design / Procurement / Community</t>
  </si>
  <si>
    <t>khu nghỉ dưỡng có eco-thiết kế/nature positioning nhưng công bố khách-sự tham gia chưa cụ thể.</t>
  </si>
  <si>
    <t>2015 (historical)</t>
  </si>
  <si>
    <t>opening attendees (approx.)</t>
  </si>
  <si>
    <t>Yes – Participatory / educational</t>
  </si>
  <si>
    <t>Bằng chứng lịch sử về giáo dục khách/công chúng; hữu ích để xem tính tiếp nối nhưng không phải KPI tham gia hiện tại.</t>
  </si>
  <si>
    <t>Experience / Conservation partner</t>
  </si>
  <si>
    <t>Wildlife At Risk</t>
  </si>
  <si>
    <t>https://wildlifeatrisk.org/activities/lastest-news/</t>
  </si>
  <si>
    <t>Dùng như một khoảng trống minh bạch; không kết luận rằng khu nghỉ dưỡng không có hoạt động.</t>
  </si>
  <si>
    <t>https://avanaretreat.com/sustainability</t>
  </si>
  <si>
    <t>Giúp so sánh đầu ra-heavy đa dạng sinh học công bố với resource-hiệu suất công bố.</t>
  </si>
  <si>
    <t>Không thấy plastic-mức giảm KPI cụ thể trong nguồn rà.</t>
  </si>
  <si>
    <t>Rooms / F&amp;B / Housekeeping</t>
  </si>
  <si>
    <t>Avana Retreat Sustainability</t>
  </si>
  <si>
    <t>Since 2023</t>
  </si>
  <si>
    <t>Avana phát triển organic garden và kết nối nguyên liệu/hoạt động này với trải nghiệm Cooking with Chef.</t>
  </si>
  <si>
    <t>thực hành nối sản xuất → F&amp;B → trải nghiệm khách.</t>
  </si>
  <si>
    <t>F&amp;B / Sustainability / Experience</t>
  </si>
  <si>
    <t>2018–2025</t>
  </si>
  <si>
    <t>Avana công bố site 15 ha chỉ có khoảng 2 ha rừng năm 2018; trồng hơn 9.000 cây giai đoạn 2019–2021 và đến 2025 gần 12.000 cây trên site.</t>
  </si>
  <si>
    <t>trees (approx.)</t>
  </si>
  <si>
    <t>Đầu ra phục hồi rõ, nhưng không tự quy đổi thành kết quả carbon hoặc đa dạng sinh học nếu chưa có phương pháp phù hợp.</t>
  </si>
  <si>
    <t>Biodiversity; Evidence &amp; Transparency; Integration</t>
  </si>
  <si>
    <t>Landscaping / Sustainability / Operations</t>
  </si>
  <si>
    <t>Nguyên liệu địa phương trong F&amp;B</t>
  </si>
  <si>
    <t>species recorded</t>
  </si>
  <si>
    <t>Đây là đánh giá của đối tác bên ngoài, không phải chứng nhận phát triển bền vững khách sạn. Số loài là đầu ra khảo sát; tỷ lệ 74% phụ thuộc bộ dữ liệu tham chiếu của GOE.</t>
  </si>
  <si>
    <t>Sustainability / External biodiversity platform</t>
  </si>
  <si>
    <t>Guardians of Earth – Biocultural Health Report 2025</t>
  </si>
  <si>
    <t>https://avanaretreat.com/storage/2025/09/Biocultural-Health-Report-Avana-Retreat-2025.pdf</t>
  </si>
  <si>
    <t>Bảo tồn cây lâu năm / cảnh quan xanh</t>
  </si>
  <si>
    <t>% BioScore increase</t>
  </si>
  <si>
    <t>Outcome indicator (proprietary index)</t>
  </si>
  <si>
    <t>Cần dùng thận trọng: BioScore là chỉ số sinh học – văn hóa riêng của đối tác, không phải KPI đa dạng sinh học chuẩn hóa cho khách sạn.</t>
  </si>
  <si>
    <t>Evidence &amp; Transparency; Biodiversity; Interesting Case</t>
  </si>
  <si>
    <t>Sustainability / External assessment</t>
  </si>
  <si>
    <t>2025–2026 current pages</t>
  </si>
  <si>
    <t>Thiết kế &amp; kể chuyện văn hóa Mekong</t>
  </si>
  <si>
    <t>% staff local (current biodiversity page)</t>
  </si>
  <si>
    <t>Có chênh lệch nguồn: 98% trên trang đa dạng sinh học hiện tại và 90% trên các trang khác/báo cáo GOE 2025. Không gộp hai số; có thể do khác thời điểm hoặc cách định nghĩa.</t>
  </si>
  <si>
    <t>Trang đa dạng sinh học của Avana Retreat</t>
  </si>
  <si>
    <t>https://avanaretreat.com/biodiversity</t>
  </si>
  <si>
    <t>Các yếu tố bền vững trong trải nghiệm khách</t>
  </si>
  <si>
    <t>Sustainability page nêu đội landscaping địa phương gồm 11 người phụ trách chăm sóc/phục hồi cảnh quan.</t>
  </si>
  <si>
    <t>local landscaping staff</t>
  </si>
  <si>
    <t>Minh chứng việc làm cụ thể, dù quy mô còn nhỏ.</t>
  </si>
  <si>
    <t>Landscaping / HR / Sustainability</t>
  </si>
  <si>
    <t>Tích hợp văn hóa/thiết kế khá rõ; chưa có chỉ số về kết quả văn hóa.</t>
  </si>
  <si>
    <t>Culture; Community; Integration; Guest Experience</t>
  </si>
  <si>
    <t>Design / Culture / Community</t>
  </si>
  <si>
    <t>Ví dụ tốt về tích hợp giữa đất đai, F&amp;B, văn hóa và trải nghiệm khách.</t>
  </si>
  <si>
    <t>Guest Experience; Integration; Culture</t>
  </si>
  <si>
    <t>F&amp;B / Experience / Culture / Sustainability</t>
  </si>
  <si>
    <t>Các trang phát triển bền vững của Avana Retreat</t>
  </si>
  <si>
    <t>https://avanaretreat.com/sustainability/organic-life.html</t>
  </si>
  <si>
    <t>kWh / guest night</t>
  </si>
  <si>
    <t>Có chỉ số cường độ và mức thay đổi theo năm; vẫn là số liệu doanh nghiệp tự công bố, chưa xem là đã xác minh độc lập.</t>
  </si>
  <si>
    <t>Engineering / Operations / Sustainability</t>
  </si>
  <si>
    <t>Silk Sense Sustainability Report 2024–2025</t>
  </si>
  <si>
    <t>https://silksenseresort.com/wp-content/uploads/2026/03/Travelife-V4.pdf</t>
  </si>
  <si>
    <t>m³ / guest night</t>
  </si>
  <si>
    <t>Đây là chỉ số hiệu suất theo cường độ, hữu ích hơn việc chỉ nêu tổng lượng nước.</t>
  </si>
  <si>
    <t>kg landfilled waste</t>
  </si>
  <si>
    <t>Có chỉ số cụ thể nhưng cần mốc cơ sở đầy đủ nếu muốn tính % mức giảm.</t>
  </si>
  <si>
    <t>Housekeeping / F&amp;B / Engineering / Sustainability</t>
  </si>
  <si>
    <t>Case rõ về tích hợp vào vận hành: chính sách giảm nhựa mở rộng từ vài bộ phận sang toàn khu nghỉ dưỡng.</t>
  </si>
  <si>
    <t>Procurement / F&amp;B / Housekeeping / Spa / Engineering</t>
  </si>
  <si>
    <t>2024</t>
  </si>
  <si>
    <t>tons organic waste treated (approx.)</t>
  </si>
  <si>
    <t>Đầu ra tuần hoàn rõ, nhưng bài viết do doanh nghiệp công bố và không nên xem là đã được kiểm toán độc lập.</t>
  </si>
  <si>
    <t>F&amp;B / Waste / Landscaping / Sustainability</t>
  </si>
  <si>
    <t>Bài viết phát triển bền vững chính thức của Silk Sense</t>
  </si>
  <si>
    <t>https://silksenseresort.com/what-materials-has-silk-sense-used-to-replace-plastic-to-become-vietnams-pioneering-green-resort/</t>
  </si>
  <si>
    <t>Report cho biết tỷ lệ nhà cung cấp địa phương tăng từ 58% năm 2024 lên 80% năm 2025; ưu tiên suppliers tại Hội An – Đà Nẵng.</t>
  </si>
  <si>
    <t>% local suppliers</t>
  </si>
  <si>
    <t>Một trong các thu mua KPI rõ nhất trong sample; là supplier share, không đồng nghĩa 80% thu mua spend.</t>
  </si>
  <si>
    <t>Evidence &amp; Transparency; Community; Integration</t>
  </si>
  <si>
    <t>Có tích hợp giữa cảnh quan, nâng cao nhận thức cho nhân viên và truyền thông tới khách, nhưng chưa có KPI kết quả sinh thái.</t>
  </si>
  <si>
    <t>Landscaping / Front Office / Rooms / HR / Sustainability</t>
  </si>
  <si>
    <t>Sustainability Report 2024–2025 công bố 95% nhân viên là người địa phương.</t>
  </si>
  <si>
    <t>% staff local</t>
  </si>
  <si>
    <t>Chỉ số xã hội khá rõ; chưa tự động chứng minh thay đổi về lương, nghề nghiệp hoặc sinh kế.</t>
  </si>
  <si>
    <t>HR / Operations</t>
  </si>
  <si>
    <t>VND raised/donated</t>
  </si>
  <si>
    <t>Đầu ra gây quỹ cộng đồng cụ thể, nhưng chưa phải kết quả xã hội dài hạn.</t>
  </si>
  <si>
    <t>Community / Experience / Events</t>
  </si>
  <si>
    <t>Trang phát triển bền vững chính thức của Silk Sense</t>
  </si>
  <si>
    <t>https://silksenseresort.com/sustainability/</t>
  </si>
  <si>
    <t>Minh chứng về tích hợp văn hóa/cộng đồng; chưa có chỉ số kết quả cho bảo tồn văn hóa.</t>
  </si>
  <si>
    <t>Culture; Community; Breadth</t>
  </si>
  <si>
    <t>Procurement / Community / Experience</t>
  </si>
  <si>
    <t>Cho thấy sự kết nối từ nông trại đến bàn ăn giữa thu mua, F&amp;B và trải nghiệm khách.</t>
  </si>
  <si>
    <t>Guest Experience; Integration; Food</t>
  </si>
  <si>
    <t>F&amp;B / Garden / Experience / Sustainability</t>
  </si>
  <si>
    <t>https://silksenseresort.com/vi/sustainability/</t>
  </si>
  <si>
    <t>Hoạt động dành cho khách chủ yếu ở mức quan sát/giáo dục; chưa có KPI về số lượt tham gia.</t>
  </si>
  <si>
    <t>Front Office / Rooms / Sustainability</t>
  </si>
  <si>
    <t>2018 historical owner report</t>
  </si>
  <si>
    <t>Báo cáo Phát triển Bền vững 2018 của Novaland ghi nhận trạm điện mặt trời 500 kWp tại dự án Legacy Mekong, cùng các giải pháp tiết kiệm năng lượng trong thiết kế/vận hành.</t>
  </si>
  <si>
    <t>kWp solar station (historical project)</t>
  </si>
  <si>
    <t>Output / infrastructure</t>
  </si>
  <si>
    <t>Bằng chứng lịch sử ở cấp chủ sở hữu/dự án; không xem là hiệu suất hiện tại năm 2026 của Legacy Mekong nếu chưa có dữ liệu vận hành cập nhật.</t>
  </si>
  <si>
    <t>Design / Engineering / Operations</t>
  </si>
  <si>
    <t>Novaland Sustainability Report 2018</t>
  </si>
  <si>
    <t>https://www.novaland.com.vn/Data/Sites/1/media/phat-trien-ben-vung/bao-cao-ptbv/nvl_sr2018_en_0606_final.pdf</t>
  </si>
  <si>
    <t>Historical</t>
  </si>
  <si>
    <t>Novaland công bố hệ thống buggy điện được trang bị điện mặt trời; thông tin mô tả quãng đường khoảng 100 km/charge và tốc độ trung bình 22–24 km/h.</t>
  </si>
  <si>
    <t>km per charge (reported)</t>
  </si>
  <si>
    <t>lịch sử technology/đầu ra data; không suy ra toàn khu nghỉ dưỡng carbon mức giảm.</t>
  </si>
  <si>
    <t>Transportation / Operations</t>
  </si>
  <si>
    <t>Thông tin chính thức trước đây của chủ sở hữu</t>
  </si>
  <si>
    <t>https://www.novaland.com.vn/ung-dung-he-thong-xe-dien-buggy-chay-bang-nang-luong-mat-troi-tai-azerai-can-tho-resort</t>
  </si>
  <si>
    <t>Trong các nguồn chính thức hiện tại đã rà, chưa tìm thấy nước-use/reuse KPI cụ thể của Legacy Mekong.</t>
  </si>
  <si>
    <t>Quan trọng để phản ánh mức độ công bố thấp hơn các khu nghỉ dưỡng có báo cáo phát triển bền vững riêng.</t>
  </si>
  <si>
    <t>https://azerai.com/azerai-can-tho/accommodations/</t>
  </si>
  <si>
    <t>Trong các nguồn chính thức hiện tại đã rà, chưa tìm thấy chất thải chuyển hướng, plastic mức giảm hoặc tái chế KPI cụ thể.</t>
  </si>
  <si>
    <t>Không đồng nghĩa hoạt động không tồn tại.</t>
  </si>
  <si>
    <t>Operations / Housekeeping / Sustainability</t>
  </si>
  <si>
    <t>Marriott hiện cho biết The Café sử dụng nguyên liệu tươi tại địa phương; The Grill chế biến món ăn với nguyên liệu địa phương</t>
  </si>
  <si>
    <t>Bằng chứng ở cấp cơ sở, chưa có tỷ lệ chi tiêu/khối lượng mua</t>
  </si>
  <si>
    <t>Community; Localisation; Evidence &amp; Transperency</t>
  </si>
  <si>
    <t xml:space="preserve">F&amp;B / Procurement </t>
  </si>
  <si>
    <t>Trang Ẩm thực của khu nghỉ dưỡng trên Marriott</t>
  </si>
  <si>
    <t>https://www.marriott.com/en-us/hotels/vcalm-legacy-mekong-can-tho-autograph-collection/dining/</t>
  </si>
  <si>
    <t>Current destination page / historical continuity</t>
  </si>
  <si>
    <t>Trang Legacy Mekong hiện tại của cơ quan du lịch Cần Thơ cho biết khu nghỉ dưỡng bảo tồn các cây gần trăm năm tuổi như một phần 'di sản xanh' và phát triển cảnh quan theo hướng tôn trọng thiên nhiên.</t>
  </si>
  <si>
    <t>D – Xác nhận từ nguồn du lịch công khai bên ngoài</t>
  </si>
  <si>
    <t>Nguồn điểm đến bên ngoài xác nhận việc bảo tồn cảnh quan; đây không phải kết quả đa dạng sinh học định lượng.</t>
  </si>
  <si>
    <t>Biodiversity; Culture; Evidence &amp; Transparency</t>
  </si>
  <si>
    <t>Design / Landscaping / Operations</t>
  </si>
  <si>
    <t>Trang điểm đến của cơ quan du lịch Cần Thơ</t>
  </si>
  <si>
    <t>https://tourismcantho.vn/resort-azerai-can-tho/</t>
  </si>
  <si>
    <t>Marriott mô tả trải nghiệm đón khách bằng vòng lá dừa, đồ uống thảo mộc và nghi thức truyền thống; ẩm thực nhấn mạnh di sản Mekong, cùng các chi tiết kể chuyện như 'Breakfast with a Story' và túi hạt giống mang về.</t>
  </si>
  <si>
    <t>Bằng chứng hiện tại cho thấy văn hóa địa phương được đưa vào thiết kế, ẩm thực và hành trình khách. Dừng ở mức mô tả, chưa có số liệu định lượng</t>
  </si>
  <si>
    <t>Culture; Guest Experience; Integration</t>
  </si>
  <si>
    <t>Design / F&amp;B / Experience</t>
  </si>
  <si>
    <t>Thông cáo khai trương của Marriott International</t>
  </si>
  <si>
    <t>https://www.prnewswire.com/apac/news-releases/marriott-international-celebrates-700th-hotel-in-asia-pacific-excluding-china-with-the-opening-of-legacy-mekong-can-tho-autograph-collection-in-vietnam-302628879.html</t>
  </si>
  <si>
    <t>Gói Private Villa Retreat của Marriott mô tả các 'sustainable touches' trong villa, gồm hoạt động trồng xương rồng xanh; các trải nghiệm khác tiếp tục gắn với câu chuyện và ẩm thực Mekong.</t>
  </si>
  <si>
    <t>Bằng chứng hiện tại về hoạt động phát triển bền vững có sự tham gia của khách, nhưng mới giới hạn ở một gói trải nghiệm cụ thể; chưa có số liệu về số người tham gia hoặc tác động sau trải nghiệm.</t>
  </si>
  <si>
    <t>Rooms / Experience</t>
  </si>
  <si>
    <t>Trang ưu đãi của khu nghỉ dưỡng trên Marriott</t>
  </si>
  <si>
    <t>https://www.marriott.com/offers/legacy-mekong-private-villa-retreat-off-207816/vcalm-legacy-mekong-can-tho-autograph-collection</t>
  </si>
  <si>
    <t>Lao động địa phương / kết quả cộng đồng</t>
  </si>
  <si>
    <t>Trong nguồn chính thức hiện tại đã rà, chưa tìm thấy KPI về lao động địa phương, người trong cộng đồng hưởng lợi hoặc sinh kế programme.</t>
  </si>
  <si>
    <t>Không kết luận khu nghỉ dưỡng không có cộng đồng hoạt động; chỉ phản ánh công bố công khai.</t>
  </si>
  <si>
    <t>Phạm vi</t>
  </si>
  <si>
    <t>Management / Integration Practice</t>
  </si>
  <si>
    <t>Thông tin lọc được</t>
  </si>
  <si>
    <t>Metric</t>
  </si>
  <si>
    <t>Unit</t>
  </si>
  <si>
    <t>Evidence Type</t>
  </si>
  <si>
    <t>Nguồn từ</t>
  </si>
  <si>
    <t>Cấp khu nghỉ dưỡng</t>
  </si>
  <si>
    <t>2024–2027</t>
  </si>
  <si>
    <t>Chứng nhận theo tiêu chuẩn được GSTC công nhận</t>
  </si>
  <si>
    <t>Six Senses Ninh Van Bay có tên trong Danh bạ Khách sạn được chứng nhận GSTC; Tổ chức chứng nhận: Control Union (GSTC-I); mã chứng nhận GSTC HACU240332-12; chu kỳ 30/12/2024–29/12/2027.</t>
  </si>
  <si>
    <t>Cốt lõi</t>
  </si>
  <si>
    <t>A – Xác minh độc lập</t>
  </si>
  <si>
    <t>GSTC Certified Hotels Directory</t>
  </si>
  <si>
    <t>Xác minh</t>
  </si>
  <si>
    <t>Bằng chứng độc lập về trạng thái chứng nhận; không dùng để nói từng KPI của khu nghỉ dưỡng đã được GSTC kiểm toán công khai.</t>
  </si>
  <si>
    <t>https://www.gstc.org/certified-hotels-directory/</t>
  </si>
  <si>
    <t>Thương hiệu → khu nghỉ dưỡng</t>
  </si>
  <si>
    <t>Hiện tại</t>
  </si>
  <si>
    <t>Regenerative Impact Fund</t>
  </si>
  <si>
    <t>Six Senses quy định mỗi khu nghỉ dưỡng quản lý Regenerative Impact Fund, gồm 0,5% tổng doanh thu khách sạn cùng nguồn thu từ bán mascot/quyên góp để đầu tư vào các dự án cộng đồng, sinh cảnh và động vật hoang dã tại địa phương.</t>
  </si>
  <si>
    <t>% tổng doanh thu</t>
  </si>
  <si>
    <t>Six Senses brand sustainability / impacts</t>
  </si>
  <si>
    <t>Cho thấy phát triển bền vững được gắn với cơ chế nguồn tài chính ở cấp khu nghỉ dưỡng; chưa thấy số tiền tuyệt đối riêng của Ninh Van Bay.</t>
  </si>
  <si>
    <t>Climate Action Plan / phạm vi liên phòng ban</t>
  </si>
  <si>
    <t>Six Senses mô tả quản lý khí hậu/phát triển bền vững bao quát vận hành, chất thải và tuần hoàn, đa dạng sinh học, nước, nhà cung cấp, khách và nhân viên.</t>
  </si>
  <si>
    <t>Bổ trợ</t>
  </si>
  <si>
    <t>Six Senses brand impacts page</t>
  </si>
  <si>
    <t>Cho thấy phát triển bền vững được mô tả theo hướng liên phòng ban ở cấp thương hiệu; chưa phải kết quả ở cấp khu nghỉ dưỡng.</t>
  </si>
  <si>
    <t>Vị trí Sustainability Director chuyên trách</t>
  </si>
  <si>
    <t>Six Senses công bố Sustainability Directors tại các khách sạn để dẫn dắt hoạt động tạo tác động tích cực của từng khu nghỉ dưỡng; Earth Labs hỗ trợ gắn kết và đổi mới.</t>
  </si>
  <si>
    <t>Six Senses corporate press release</t>
  </si>
  <si>
    <t>Bổ sung bằng chứng về cấu trúc quản trị/vai trò phụ trách phát triển bền vững; nguồn là doanh nghiệp tự công bố.</t>
  </si>
  <si>
    <t>https://www.sixsenses.com/en/corporate/media-center/press-releases/2025/control-union-gstc-certification/</t>
  </si>
  <si>
    <t>Theo dõi môi trường &amp; đối sánh với Cornell</t>
  </si>
  <si>
    <t>Six Senses cho biết các khu nghỉ dưỡng theo dõi/đo lường nỗ lực môi trường và toàn bộ khách sạn/khu nghỉ dưỡng đóng góp dữ liệu cho Cornell Hotel Sustainability Benchmarking.</t>
  </si>
  <si>
    <t>Quan trọng cho góc nhìn quản lý; chưa thấy điểm đối sánh công khai riêng của Ninh Van Bay.</t>
  </si>
  <si>
    <t>Giải HICAP về Hành động Khí hậu &amp; Đa dạng sinh học</t>
  </si>
  <si>
    <t>HICAP 2024 Giải thưởng Khách sạn Bền vững công bố Six Senses Ninh Van Bay là đơn vị thắng giải hạng mục Hành động Khí hậu &amp; Đa dạng sinh học.</t>
  </si>
  <si>
    <t>A2 – Ghi nhận độc lập</t>
  </si>
  <si>
    <t>HICAP / BHN Group</t>
  </si>
  <si>
    <t>Ghi nhận</t>
  </si>
  <si>
    <t>Ghi nhận bên ngoài, không tương đương kiểm toán từng KPI phát triển bền vững.</t>
  </si>
  <si>
    <t>https://www.burba.com/HICAP/News/HICAP-2024-Sustainable-Award-Winners</t>
  </si>
  <si>
    <t>Chứng nhận Green Globe</t>
  </si>
  <si>
    <t>Green Globe có trang riêng xác nhận InterContinental Danang Sun Peninsula Resort trong chương trình chứng nhận; khu nghỉ dưỡng cũng tự công bố trạng thái Green Globe Certified.</t>
  </si>
  <si>
    <t>Dùng để xác minh chứng nhận trạng thái; không coi chứng nhận là kiểm toán công khai của từng KPI khu nghỉ dưỡng.</t>
  </si>
  <si>
    <t>Kế hoạch Quản lý Phát triển bền vững</t>
  </si>
  <si>
    <t>Khu nghỉ dưỡng công khai Kế hoạch Quản lý Phát triển Bền vững 2026–2027, cấu trúc theo các cam kết về Môi trường, Xã hội – Văn hóa, Chất lượng và Sức khỏe – An toàn, đồng thời mô tả theo dõi/chính sách cho vận hành.</t>
  </si>
  <si>
    <t>Minh chứng mạnh về quản lý/tích hợp; phần lớn dữ liệu hiệu suất trong kế hoạch vẫn định tính.</t>
  </si>
  <si>
    <t>2025–2028</t>
  </si>
  <si>
    <t>Danh bạ Khách sạn được chứng nhận GSTC liệt kê Banyan Tree Lang Co; Tổ chức chứng nhận: Control Union (GSTC-I); chu kỳ 16/12/2025–15/12/2028; chứng nhận GSTC HACU250270-1.</t>
  </si>
  <si>
    <t>Bằng chứng chứng nhận độc lập ở cấp khu nghỉ dưỡng; không dùng để xác minh từng KPI khác.</t>
  </si>
  <si>
    <t>Green Imperative Fund</t>
  </si>
  <si>
    <t>Banyan Tree Lang Co mô tả Green Imperative Fund với khoản đóng góp tự động tính nhưng khách có thể từ chối 2 USD mỗi đêm phòng để hỗ trợ các sáng kiến môi trường/cộng đồng.</t>
  </si>
  <si>
    <t>USD / đêm phòng</t>
  </si>
  <si>
    <t>Cho thấy cơ chế tài chính gắn với kỳ nghỉ; chưa thấy số liệu phân tách kết quả của riêng khu nghỉ dưỡng trên trang.</t>
  </si>
  <si>
    <t>Bối cảnh khu phức hợp</t>
  </si>
  <si>
    <t>2022</t>
  </si>
  <si>
    <t>EarthCheck Gold – Laguna Lăng Cô</t>
  </si>
  <si>
    <t>EarthCheck công bố Laguna Lăng Cô giữ EarthCheck Gold năm 2022. Đây là lịch sử chứng nhận của khu phức hợp, không phải bằng chứng hiện tại riêng cho Banyan Tree Lang Co.</t>
  </si>
  <si>
    <t>EarthCheck</t>
  </si>
  <si>
    <t>Giữ như lịch sử/phạm vi context; không dùng để công bố hiện tại Banyan Tree chứng nhận.</t>
  </si>
  <si>
    <t>https://earthcheck.org/news/laguna-golf-lang-co-retains-earthcheck-gold/</t>
  </si>
  <si>
    <t>Giải Khách sạn Xanh ASEAN 2026</t>
  </si>
  <si>
    <t>Nguồn thuộc hệ thống thông tin du lịch Việt Nam công bố Topas Ecolodge là một trong các cơ sở Việt Nam nhận ASEAN Green Hotel Award 2026.</t>
  </si>
  <si>
    <t>Viet Nam public-sector / national press confirmation</t>
  </si>
  <si>
    <t>Giải thưởng được nguồn công lập/báo chí quốc gia Việt Nam xác nhận; đây là ghi nhận bên ngoài, không tương đương kiểm toán từng KPI của khu nghỉ dưỡng.</t>
  </si>
  <si>
    <t>https://en.nhandan.vn/viet-nam-reaps-a-bountiful-harvest-at-the-asean-tourism-awards-2026-post158773.html</t>
  </si>
  <si>
    <t>Cách tiếp cận quản lý du lịch bền vững / CSR</t>
  </si>
  <si>
    <t>Topas công khai các nguyên tắc vận hành về địa phương employment, sourcing, energy, nước, chất thải, văn hóa và cộng đồng trên sustainable tourism/development trangs.</t>
  </si>
  <si>
    <t>Topas official sustainability pages</t>
  </si>
  <si>
    <t>Cho thấy phát triển bền vững được mô tả theo hướng liên phòng ban; chưa thấy báo cáo hiệu suất hiện tại với các KPI cường độ.</t>
  </si>
  <si>
    <t>Mục tiêu &amp; theo dõi tiến độ trong Sustainability in Action</t>
  </si>
  <si>
    <t>Khu nghỉ dưỡng công bố mục tiêu 10% mức giảm vào cuối 2026 và cập nhật tiến độ 3% đến 31/12/2025 trong Sustainability in Action tài liệu.</t>
  </si>
  <si>
    <t>% mục tiêu giảm</t>
  </si>
  <si>
    <t>Có mục tiêu + tiến độ công bố; cần giữ đúng indicator phạm vi nêu trong tài liệu.</t>
  </si>
  <si>
    <t>Travelife Certified – doanh nghiệp công bố</t>
  </si>
  <si>
    <t>Trang tổng quan Marriott hiển thị trạng thái 'Travelife Certified'. Trong đợt rà hiện tại chưa xác minh được hồ sơ này bằng danh bạ công khai gốc của Travelife.</t>
  </si>
  <si>
    <t>Giữ ở mức doanh nghiệp công bố về tình trạng chứng nhận cho tới khi có nguồn trực tiếp từ Travelife.</t>
  </si>
  <si>
    <t>Danh bạ Khách sạn được chứng nhận GSTC liệt kê Six Senses Condao; Control Union (GSTC-I); hiện tại chu kỳ 30/12/2024–29/12/2027; chứng nhận GSTC HACU240332-1.</t>
  </si>
  <si>
    <t>hiện tại chứng nhận được xác nhận trong danh bạ at cấp khu nghỉ dưỡng; không dùng chứng nhận này để xác minh từng KPI phát triển bền vững khác.</t>
  </si>
  <si>
    <t>Cơ chế quỹ tái tạo / phát triển bền vững</t>
  </si>
  <si>
    <t>Six Senses áp dụng Regenerative Impact Fund tại các khu nghỉ dưỡng, với 0,5% tổng doanh thu khách sạn cùng các nguồn bổ sung dành cho các dự án môi trường và xã hội tại địa phương.</t>
  </si>
  <si>
    <t>% tổng doanh thu khách sạn</t>
  </si>
  <si>
    <t>Six Senses Impacts</t>
  </si>
  <si>
    <t>nguồn tài chính architecture cấp brand/khu nghỉ dưỡng; không có absolute fund amount của Con Dao trong source này.</t>
  </si>
  <si>
    <t>Staying Green / nguyên tắc vận hành sinh thái</t>
  </si>
  <si>
    <t>Mango Bay công khai 'Staying Green' approach bao quát low-energy design, nước/chất thải, địa phương purchasing/employment, địa phương materials và conservation partnerships.</t>
  </si>
  <si>
    <t>Mô tả quản lý liên phòng ban; chưa thấy báo cáo phát triển bền vững hiện tại có chỉ số cường độ được công bố công khai.</t>
  </si>
  <si>
    <t>Rà soát hiện tại</t>
  </si>
  <si>
    <t>Chứng nhận phát triển bền vững bên thứ ba</t>
  </si>
  <si>
    <t>Trong các nguồn chính thức/partner đã rà, chưa tìm thấy hiện tại third-party phát triển bền vững chứng nhận công khai cho Mango Bay.</t>
  </si>
  <si>
    <t>Khoảng trống dữ liệu</t>
  </si>
  <si>
    <t>Rà soát các nguồn đã liệt kê</t>
  </si>
  <si>
    <t>Không đồng nghĩa khu nghỉ dưỡng không có chứng nhận; chỉ phản ánh công khai minh chứng tìm được.</t>
  </si>
  <si>
    <t>Khung quản lý phát triển bền vững</t>
  </si>
  <si>
    <t>Avana công khai cách tiếp cận quản lý phát triển bền vững bao quát phục hồi rừng, đa dạng sinh học, cộng đồng/lao động địa phương, văn hóa, thực phẩm và giảm chất thải.</t>
  </si>
  <si>
    <t>Có minh chứng rộng về quản lý/tích hợp; công bố công khai về năng lượng và cường độ sử dụng nước còn hạn chế.</t>
  </si>
  <si>
    <t>Nền tảng bên ngoài</t>
  </si>
  <si>
    <t>2025/hiện tại</t>
  </si>
  <si>
    <t>Đánh giá đa dạng sinh học của Guardians of Earth</t>
  </si>
  <si>
    <t>Guardians of Earth có Avana Retreat trên đa dạng sinh học platform và công bố site-level đa dạng sinh học indicators; các snapshot hiện hành có thể khác số khu nghỉ dưỡng trích trong 2025 phát triển bền vững trang.</t>
  </si>
  <si>
    <t>D – Đánh giá/xác nhận từ đối tác bên ngoài</t>
  </si>
  <si>
    <t>Xác minh / đánh giá</t>
  </si>
  <si>
    <t>Đây là báo cáo/đánh giá sinh học – văn hóa từ đối tác bên ngoài, không phải chứng nhận phát triển bền vững khách sạn. Dùng như nguồn đánh giá/đối chiếu của đối tác, không coi là chứng nhận độc lập.</t>
  </si>
  <si>
    <t>Chứng nhận phát triển bền vững khách sạn bên thứ ba</t>
  </si>
  <si>
    <t>Trong các nguồn đã rà, chưa xác minh hiện tại hotel phát triển bền vững chứng nhận như GSTC-accredited/Green Globe/Travelife cho Avana.</t>
  </si>
  <si>
    <t>Guardians of Earth đa dạng sinh học assessment không tương đương hotel phát triển bền vững chứng nhận.</t>
  </si>
  <si>
    <t>Báo cáo Phát triển Bền vững</t>
  </si>
  <si>
    <t>Khu nghỉ dưỡng công khai Báo cáo Phát triển Bền vững 2024–2025 bao phủ năng lượng, nước, chất thải, chuỗi cung ứng, cộng đồng, đa dạng sinh học và việc làm/đối xử công bằng.</t>
  </si>
  <si>
    <t>Cho thấy structured công bố vượt khỏi marketing trang; từng metric vẫn cần classify riêng.</t>
  </si>
  <si>
    <t>2026–2028</t>
  </si>
  <si>
    <t>Travelife Gold – doanh nghiệp công bố</t>
  </si>
  <si>
    <t>Silk Sense công bố được tái chứng nhận Travelife Gold cho giai đoạn 2026–2028. Research hiện tại chưa tìm thấy primary công khai Travelife directory trang để independently xác minh record.</t>
  </si>
  <si>
    <t>Silk Sense Sustainability</t>
  </si>
  <si>
    <t>Giữ như doanh nghiệp tự công bố chứng nhận công bố tới khi có third-party source trực tiếp.</t>
  </si>
  <si>
    <t>Kế hoạch Hành động Phát triển Bền vững 2026</t>
  </si>
  <si>
    <t>Sustainability trang công khai link Action Plan 2026 với các commitment/action areas cho vận hành bền vững.</t>
  </si>
  <si>
    <t>Minh chứng về quản lý, chưa phải kết quả.</t>
  </si>
  <si>
    <t>Báo cáo/chứng nhận phát triển bền vững công khai hiện tại</t>
  </si>
  <si>
    <t>Trong các nguồn chính thức hiện tại đã rà, chưa tìm thấy dedicated báo cáo phát triển bền vững hoặc third-party hotel phát triển bền vững chứng nhận cho Legacy Mekong.</t>
  </si>
  <si>
    <t>Rà soát các nguồn chính thức hiện tại</t>
  </si>
  <si>
    <t>Legacy Mekong có một số công bố phát triển bền vững mang tính lịch sử; mức độ minh bạch hiện tại thấp hơn các trường hợp có báo cáo/chứng nhận riêng.</t>
  </si>
  <si>
    <t>Tính liên tục của cơ sở / tên hiện tại</t>
  </si>
  <si>
    <t>2024–2026</t>
  </si>
  <si>
    <t>Đổi tên thành Legacy Mekong / lưu ý về tính liên tục của dữ liệu</t>
  </si>
  <si>
    <t>Nguồn du lịch Cần Thơ và báo cáo Novaland 2024 xác nhận cơ sở hiện vận hành dưới tên Legacy Mekong (trước đó là Azerai Can Tho). Do dữ liệu phát triển bền vững hiện tại còn ít, các thông tin lịch sử từ Azerai/Novaland được giữ với mốc thời gian rõ ràng.</t>
  </si>
  <si>
    <t>D – Xác nhận từ nguồn công khai bên ngoài</t>
  </si>
  <si>
    <t>Can Tho Tourism / Novaland Annual Report 2024</t>
  </si>
  <si>
    <t>Lưu ý phương pháp: không dùng các thông tin lịch sử của Azerai như hiệu suất hiện tại của Legacy Mekong nếu chưa có dữ liệu cập nhật.</t>
  </si>
  <si>
    <t>Bối cảnh chủ sở hữu trong quá khứ</t>
  </si>
  <si>
    <t>2018–2020</t>
  </si>
  <si>
    <t>Thông tin về phát triển/vận hành theo hướng bền vững</t>
  </si>
  <si>
    <t>Government/owner materials giai đoạn launch/early operation mô tả development theo hướng green spaces, energy efficiency và một số solar applications.</t>
  </si>
  <si>
    <t>Nguồn công khai trước đây của cơ quan nhà nước/chủ sở hữu</t>
  </si>
  <si>
    <t>lịch sử phạm vi; không dùng như hiện tại 2026 xác minh.</t>
  </si>
  <si>
    <t>https://baochinhphu.vn/novaland-ra-mat-resort-azerai-can-tho-102239790.htm</t>
  </si>
  <si>
    <t>Từ 12/2025</t>
  </si>
  <si>
    <t>Khung Serve 360 của Marriott</t>
  </si>
  <si>
    <t>Legacy Mekong gia nhập Autograph Collection của Marriott từ tháng 12/2025. Serve 360 là khung phát triển bền vững và tác động xã hội ở cấp tập đoàn Marriott, bao gồm vận hành có trách nhiệm, quản lý năng lượng và nước, giảm chất thải/phát thải và thu mua có trách nhiệm.</t>
  </si>
  <si>
    <t>Trang Serve 360 chính thức của Marriott</t>
  </si>
  <si>
    <t>Khung quản lý</t>
  </si>
  <si>
    <t>Chỉ dùng như bối cảnh quản lý ở cấp tập đoàn</t>
  </si>
  <si>
    <t>https://serve360.marriott.com/</t>
  </si>
  <si>
    <t>Property</t>
  </si>
  <si>
    <t>Since Dec 2025</t>
  </si>
  <si>
    <t>Marriott Serve 360 framework</t>
  </si>
  <si>
    <t>C – Qualitative company-reported</t>
  </si>
  <si>
    <t>Marriott / Serve 360 official</t>
  </si>
  <si>
    <t>Management framework</t>
  </si>
  <si>
    <t>Danh mục nguồn - toàn bộ URLs đang được dataset sử dụng</t>
  </si>
  <si>
    <t>Nguồn / nhãn</t>
  </si>
  <si>
    <t>Khía cạnh / phạm vi</t>
  </si>
  <si>
    <t>Số mục sử dụng</t>
  </si>
  <si>
    <t>Nhóm nguồn</t>
  </si>
  <si>
    <t>Liên kết</t>
  </si>
  <si>
    <t>Nguồn chính thức của doanh nghiệp / khu nghỉ dưỡng</t>
  </si>
  <si>
    <t>Đa dạng sinh học &amp; Hệ sinh thái; Quản lý &amp; Tích hợp</t>
  </si>
  <si>
    <t>D – Đánh giá/xác nhận từ đối tác bên ngoài; D – Xác nhận từ đối tác bên ngoài</t>
  </si>
  <si>
    <t>Avana Retreat Sustainability; Rà soát các nguồn đã liệt kê</t>
  </si>
  <si>
    <t>Đa dạng sinh học &amp; Hệ sinh thái; Cộng đồng &amp; Con người; Văn hóa &amp; Di sản; Năng lượng &amp; Khí hậu; Thực phẩm &amp; Thu mua; Quản lý &amp; Tích hợp; Chất thải &amp; Nhựa; Nước</t>
  </si>
  <si>
    <t>B – Doanh nghiệp công bố định lượng; C – Doanh nghiệp công bố định tính; E – Chưa tìm thấy minh chứng cụ thể</t>
  </si>
  <si>
    <t>Azerai Can Tho official / government launch; Azerai accommodation pages; Rà soát các nguồn chính thức hiện tại; Rà soát các nguồn đã liệt kê</t>
  </si>
  <si>
    <t>Azerai Can Tho</t>
  </si>
  <si>
    <t>Cộng đồng &amp; Con người; Văn hóa &amp; Di sản; Thực phẩm &amp; Thu mua; Gắn kết khách hàng; Quản lý &amp; Tích hợp; Chất thải &amp; Nhựa; Nước</t>
  </si>
  <si>
    <t>C – Doanh nghiệp công bố định tính; E – Chưa tìm thấy minh chứng cụ thể</t>
  </si>
  <si>
    <t>Quản lý &amp; Tích hợp</t>
  </si>
  <si>
    <t>Nguồn bên ngoài / độc lập / công khai</t>
  </si>
  <si>
    <t>Can Tho Tourism / Novaland Annual Report 2024; Trang điểm đến của cơ quan du lịch Cần Thơ</t>
  </si>
  <si>
    <t>D – Xác nhận từ nguồn công khai bên ngoài; D – Xác nhận từ nguồn du lịch công khai bên ngoài</t>
  </si>
  <si>
    <t>Đa dạng sinh học &amp; Hệ sinh thái; Văn hóa &amp; Di sản; Gắn kết khách hàng</t>
  </si>
  <si>
    <t>Banyan Tree Lang Co Sustainability; Rà soát nghiên cứu; Rà soát các nguồn đã liệt kê</t>
  </si>
  <si>
    <t>Cộng đồng &amp; Con người; Năng lượng &amp; Khí hậu; Thực phẩm &amp; Thu mua; Quản lý &amp; Tích hợp; Chất thải &amp; Nhựa; Nước</t>
  </si>
  <si>
    <t>Chất thải &amp; Nhựa; Nước</t>
  </si>
  <si>
    <t>Banyan Tree Lang Co; Six Senses Con Dao; Six Senses Ninh Van Bay</t>
  </si>
  <si>
    <t>Đa dạng sinh học &amp; Hệ sinh thái; Gắn kết khách hàng</t>
  </si>
  <si>
    <t>B – Doanh nghiệp công bố định lượng; C – Doanh nghiệp công bố định tính</t>
  </si>
  <si>
    <t>Cộng đồng &amp; Con người; Văn hóa &amp; Di sản</t>
  </si>
  <si>
    <t>Năng lượng &amp; Khí hậu; Thực phẩm &amp; Thu mua; Quản lý &amp; Tích hợp; Chất thải &amp; Nhựa; Nước</t>
  </si>
  <si>
    <t>Gắn kết khách hàng; Quản lý &amp; Tích hợp; Nước</t>
  </si>
  <si>
    <t>A – Xác minh độc lập; D – Xác nhận từ nguồn chứng nhận bên ngoài; D – Xác nhận từ đối tác bên ngoài</t>
  </si>
  <si>
    <t>Trang Giới thiệu chính thức của Mango Bay; Trang Giới thiệu chính thức của Mango Bay / Staying Green; Rà soát các nguồn đã liệt kê</t>
  </si>
  <si>
    <t>Đa dạng sinh học &amp; Hệ sinh thái; Cộng đồng &amp; Con người; Văn hóa &amp; Di sản; Năng lượng &amp; Khí hậu; Thực phẩm &amp; Thu mua; Gắn kết khách hàng; Quản lý &amp; Tích hợp; Chất thải &amp; Nhựa; Nước</t>
  </si>
  <si>
    <t>Silk Sense Sustainability; Trang phát triển bền vững chính thức của Silk Sense</t>
  </si>
  <si>
    <t>Cộng đồng &amp; Con người; Quản lý &amp; Tích hợp</t>
  </si>
  <si>
    <t>Trang phát triển bền vững chính thức của khu nghỉ dưỡng; Các trang chính thức của Six Senses Con Dao; Trang chính thức của Six Senses</t>
  </si>
  <si>
    <t>Đa dạng sinh học &amp; Hệ sinh thái; Cộng đồng &amp; Con người; Văn hóa &amp; Di sản; Thực phẩm &amp; Thu mua; Gắn kết khách hàng; Chất thải &amp; Nhựa; Nước</t>
  </si>
  <si>
    <t>Rà soát các nguồn đã liệt kê; Six Senses Impacts; Six Senses brand impacts page; Six Senses brand sustainability / impacts</t>
  </si>
  <si>
    <t>Six Senses Con Dao; Six Senses Ninh Van Bay</t>
  </si>
  <si>
    <t>Năng lượng &amp; Khí hậu; Quản lý &amp; Tích hợp</t>
  </si>
  <si>
    <t>Cộng đồng &amp; Con người; Gắn kết khách hàng</t>
  </si>
  <si>
    <t>Trang chính thức của khu nghỉ dưỡng; Rà soát các nguồn đã liệt kê</t>
  </si>
  <si>
    <t>Đa dạng sinh học &amp; Hệ sinh thái; Cộng đồng &amp; Con người; Văn hóa &amp; Di sản; Năng lượng &amp; Khí hậu; Thực phẩm &amp; Thu mua; Chất thải &amp; Nhựa; Nước</t>
  </si>
  <si>
    <t>Marriott Sustainability in Action; Marriott Sustainability in Action / property overview</t>
  </si>
  <si>
    <t>Đa dạng sinh học &amp; Hệ sinh thái; Cộng đồng &amp; Con người; Năng lượng &amp; Khí hậu; Gắn kết khách hàng; Quản lý &amp; Tích hợp</t>
  </si>
  <si>
    <t>Văn hóa &amp; Di sản; Năng lượng &amp; Khí hậu; Quản lý &amp; Tích hợp; Chất thải &amp; Nhựa; Nước</t>
  </si>
  <si>
    <t>Topas Sustainable Development; Topas official sustainability pages</t>
  </si>
  <si>
    <t>Văn hóa &amp; Di sản; Gắn kết khách hàng; Quản lý &amp; Tích hợp; Chất thải &amp; Nhựa</t>
  </si>
  <si>
    <t>Topas Ecolodge – ASEAN Green Hotel 2026 page; Topas Sustainable Development + ASEAN Green Hotel 2026 disclosure; Topas Sustainable Development + ASEAN Green Hotel 2026 page</t>
  </si>
  <si>
    <t>Cộng đồng &amp; Con người; Năng lượng &amp; Khí hậu; Thực phẩm &amp; Thu mua; Gắn kết khách hàng; Chất thải &amp; Nhựa; Nước</t>
  </si>
  <si>
    <t>Solar energy – Ninh Van Greens</t>
  </si>
  <si>
    <t>Solar farm tạo khoảng 26–28% điện sử dụng của resort; năm 2025 tạo 739.782 kWh điện tái tạo.</t>
  </si>
  <si>
    <t>Energy intensity trend</t>
  </si>
  <si>
    <t>Trong các nguồn đã rà, chưa tìm thấy KPI công khai kiểu kWh/occupied room hoặc kWh/guest night của riêng Ninh Van Bay theo thời gian.</t>
  </si>
  <si>
    <t>Property-level GHG emissions</t>
  </si>
  <si>
    <t>Có brand-level climate measurement approach, nhưng chưa thấy Scope 1/2 emissions hoặc carbon/occupied room riêng của Ninh Van Bay trong các nguồn đã rà.</t>
  </si>
  <si>
    <t>Water conservation in resort operations</t>
  </si>
  <si>
    <t>Property mô tả water conservation là một phần của định hướng vận hành bền vững tại resort.</t>
  </si>
  <si>
    <t>Water-use performance</t>
  </si>
  <si>
    <t>Chưa tìm thấy water/guest night, water/occupied room hoặc reduction % công khai cho riêng property trong các nguồn đã rà.</t>
  </si>
  <si>
    <t>Reusable glass bottles</t>
  </si>
  <si>
    <t>Trash to Treasure, Master Chef Upcycling, beach clean-ups và conservation activities thu hút 232 residents/hosts/guests và thu gom 1.961 kg rác.</t>
  </si>
  <si>
    <t>4.200 kg phân hữu cơ/compost được sản xuất từ nguồn hữu cơ tại property trong năm 2025.</t>
  </si>
  <si>
    <t>Overall waste performance</t>
  </si>
  <si>
    <t>Có compost, bottles avoided và community waste outputs nhưng chưa thấy total waste generated, diversion rate hoặc waste/guest night.</t>
  </si>
  <si>
    <t>Organic gardens / Solar Fresh-Cuts</t>
  </si>
  <si>
    <t>Ba khu vườn sản xuất 13.849 kg rau quả hữu cơ; Solar Fresh-Cuts trồng herbs, fruits và vegetables dùng cho nhà hàng.</t>
  </si>
  <si>
    <t>Responsible sourcing</t>
  </si>
  <si>
    <t>Property mô tả việc ưu tiên các nguồn nguyên liệu được khai thác/cung ứng có trách nhiệm trong hoạt động vận hành.</t>
  </si>
  <si>
    <t>Local / responsible sourcing share</t>
  </si>
  <si>
    <t>Chưa tìm thấy % spending hoặc % food sourced locally/responsibly cho riêng Ninh Van Bay trong các nguồn đã rà.</t>
  </si>
  <si>
    <t>Black-shanked douc langur population</t>
  </si>
  <si>
    <t>Property công bố số cá thể được ghi nhận tại Hòn Hèo tăng từ 109 năm 2019 lên 211 năm 2025.</t>
  </si>
  <si>
    <t>Coral restoration</t>
  </si>
  <si>
    <t>Duy trì 80 coral frames, lắp 12 khung mới, cấy lại 200 coral fragments, hơn 250 giờ monitoring/maintenance; 128 guests tham gia.</t>
  </si>
  <si>
    <t>Langur monitoring – partner corroboration</t>
  </si>
  <si>
    <t>Five-year biodiversity survey</t>
  </si>
  <si>
    <t>Forest biodiversity research</t>
  </si>
  <si>
    <t>Six Senses công bố đã nhận diện 150 species trong surrounding forest từ 2022, gồm 10 rare plant species; Curcuma sixsensesensis được công nhận năm 2022.</t>
  </si>
  <si>
    <t>Mangrove restoration</t>
  </si>
  <si>
    <t>Six Senses công bố hơn 150 hosts tham gia trồng 14.700 cây ngập mặn tại Đầm Bấy và Đầm Thị Nại.</t>
  </si>
  <si>
    <t>Natural coral spawning</t>
  </si>
  <si>
    <t>Ngày 18/4/2025, resort lần đầu ghi nhận hiện tượng sinh sản tự nhiên của san hô trong restoration area.</t>
  </si>
  <si>
    <t>Camera-trap wildlife monitoring</t>
  </si>
  <si>
    <t>Education empowerment</t>
  </si>
  <si>
    <t>Hơn 1.000 students hưởng lợi từ educational programs; 138 university students tham gia sustainability workshops; 400 books được tặng.</t>
  </si>
  <si>
    <t>Staff conservation training</t>
  </si>
  <si>
    <t>GreenViet ghi nhận 6 hoạt động nội bộ về biodiversity/conservation, thu hút tổng cộng 62 nhân viên tham gia.</t>
  </si>
  <si>
    <t>Lắp hệ thống RO–UV tại Ninh Ich Primary School, cung cấp nước uống an toàn cho 200 students &amp; teachers; awareness sessions cho hơn 180 người.</t>
  </si>
  <si>
    <t>Conservation awareness for local community &amp; students</t>
  </si>
  <si>
    <t>Six Senses công bố 457 người dân địa phương và học sinh/sinh viên tham gia reforestation, school visits, university presentations, wildlife education và Earth Day exhibitions.</t>
  </si>
  <si>
    <t>Solar for Life</t>
  </si>
  <si>
    <t>Student environmental field trip</t>
  </si>
  <si>
    <t>GreenViet ghi nhận 2 chương trình giáo dục cho học sinh; tiêu biểu có 26 học sinh và giáo viên của Happy Village School tham gia field trip.</t>
  </si>
  <si>
    <t>Local workforce / employment outcome</t>
  </si>
  <si>
    <t>Property nói có scholarships, internships và employment opportunities nhưng chưa thấy % local workforce, retention hoặc career outcome dài hạn.</t>
  </si>
  <si>
    <t>Local culture interpretation at Earth Lab / Langur Lounge</t>
  </si>
  <si>
    <t>Property mô tả Earth Lab và Langur Lounge là nơi du khách tìm hiểu về sustainability, local culture và wildlife conservation.</t>
  </si>
  <si>
    <t>Cultural heritage outcomes / metrics</t>
  </si>
  <si>
    <t>Trong các nguồn đã rà, chưa tìm thấy metric hoặc outcome cụ thể về bảo tồn di sản/văn hóa địa phương tại property.</t>
  </si>
  <si>
    <t>Khoảng 117 guests tham gia Langur Discovery do GreenViet researchers hướng dẫn trong 6 tháng đầu 2025.</t>
  </si>
  <si>
    <t>Nature experiences – annual participation</t>
  </si>
  <si>
    <t>Nature learning activities</t>
  </si>
  <si>
    <t>Khoảng 97 guests tham gia Langur Talk, Flora Walk, Snake Talk và Nature Hike.</t>
  </si>
  <si>
    <t>Monthly energy monitoring &amp; efficiency</t>
  </si>
  <si>
    <t>Sustainability Management Plan nêu resort theo dõi mức sử dụng năng lượng hàng tháng và ưu tiên thiết bị/giải pháp tiết kiệm năng lượng.</t>
  </si>
  <si>
    <t>Water saving, reuse &amp; wastewater management</t>
  </si>
  <si>
    <t>Chlorine-free outdoor pools / salt ionizer</t>
  </si>
  <si>
    <t>Green Globe reports chlorine was removed from outdoor swimming pools and a salt-ionizer system installed to reduce environmental impacts while maintaining water quality.</t>
  </si>
  <si>
    <t>Triple R / organic waste reuse / glass bottles</t>
  </si>
  <si>
    <t>Plan nêu food và organic waste được tái sử dụng cho farming, áp dụng Triple R, theo dõi waste output hàng tháng và dùng nước uống trong chai thủy tinh.</t>
  </si>
  <si>
    <t>Responsible/local purchasing &amp; endangered-species No-No list</t>
  </si>
  <si>
    <t>Plan ưu tiên hàng tái chế/tái chế được, local suppliers và giảm chemical footprint; F&amp;B có 'No-No list' nhằm tránh các loài nguy cấp.</t>
  </si>
  <si>
    <t>Monkey bridges &amp; native habitat support</t>
  </si>
  <si>
    <t>Trang Nature &amp; Wildlife mô tả 5 monkey bridges, habitat planting và các biện pháp giảm xung đột giữa resort operations với wildlife tại Sơn Trà.</t>
  </si>
  <si>
    <t>Surrounding nature-reserve biodiversity context</t>
  </si>
  <si>
    <t>Property environmental page states the surrounding nature reserve supports more than 1,500 species of flora and fauna.</t>
  </si>
  <si>
    <t>Local hiring, training &amp; hospitality-school collaboration</t>
  </si>
  <si>
    <t>Sociocultural plan nêu ưu tiên local hiring, employee training và hợp tác với các trường hospitality để phát triển năng lực/việc làm.</t>
  </si>
  <si>
    <t>Community support &amp; clean-water initiatives</t>
  </si>
  <si>
    <t>Trang Local Community mô tả hỗ trợ bệnh viện, trung tâm dạy nghề/nhóm yếu thế, hiến máu và hệ thống lọc nước sạch cho cộng đồng địa phương.</t>
  </si>
  <si>
    <t>Local culture, art &amp; architecture interpretation</t>
  </si>
  <si>
    <t>Resort cam kết cung cấp thông tin về văn hóa/lịch sử/thiên nhiên địa phương và phản ánh local art/architecture trong thiết kế, trải nghiệm.</t>
  </si>
  <si>
    <t>Nature education participation</t>
  </si>
  <si>
    <t>Green Globe reports that more than 6,500 participants attended nature-education activities such as Nature Expeditions and daily Ecowalks in the preceding year.</t>
  </si>
  <si>
    <t>Resident naturalist wildlife education</t>
  </si>
  <si>
    <t>Resort tổ chức các nature/wildlife tours với resident naturalist; Primate Appreciation Month được giới thiệu từ 2025 như hoạt động giáo dục định kỳ.</t>
  </si>
  <si>
    <t>Property-level energy performance</t>
  </si>
  <si>
    <t>Trong các nguồn property-level đã rà, chưa tìm thấy KPI energy intensity/carbon performance riêng cho Banyan Tree Lang Co.</t>
  </si>
  <si>
    <t>Property-level water performance</t>
  </si>
  <si>
    <t>No current property-specific water intensity, annual consumption, reuse share or wastewater KPI was located in the Banyan Tree Lang Co public sources reviewed. Laguna Lang Co publishes integrated-resort metrics separately.</t>
  </si>
  <si>
    <t>Laguna Lăng Cô integrated-resort water metrics</t>
  </si>
  <si>
    <t>Laguna Lăng Cô công bố ở cấp integrated resort: 141.185 m³ wastewater được xử lý tại chỗ; 67% water consumption đến từ alternative water supplies. Không có breakdown riêng cho Banyan Tree Lang Co.</t>
  </si>
  <si>
    <t>Property-level waste / plastic performance</t>
  </si>
  <si>
    <t>No current Banyan Tree Lang Co-specific waste diversion, plastic reduction, compost or packaging KPI was located in the property sources reviewed; Laguna Lang Co reports destination-level data separately.</t>
  </si>
  <si>
    <t>Laguna Lăng Cô integrated-resort bottling / compost metrics</t>
  </si>
  <si>
    <t>Laguna Lăng Cô công bố ở cấp integrated resort: 445.627 glass bottles được sản xuất on-site và 909 tấn compost được tạo từ organic waste. Không có breakdown riêng cho Banyan Tree Lang Co.</t>
  </si>
  <si>
    <t>Property-level responsible/local sourcing metric</t>
  </si>
  <si>
    <t>No property-specific percentage or quantified current KPI for local/responsible food procurement was located in the reviewed Banyan Tree Lang Co public pages.</t>
  </si>
  <si>
    <t>15 Signature Birds / guided birdwatching</t>
  </si>
  <si>
    <t>Banyan Tree Lang Co's biodiversity experience highlights 15 Signature Birds and offers complimentary guided birdwatching three days per week.</t>
  </si>
  <si>
    <t>Birdwatching / biodiversity experiences</t>
  </si>
  <si>
    <t>Stay for Good có các hoạt động quan sát chim và khám phá thiên nhiên/biodiversity trong destination.</t>
  </si>
  <si>
    <t>Property mô tả chương trình Seedlings Mentorship hỗ trợ school fees/supplies và mentors cho trẻ em địa phương đến tuổi 18.</t>
  </si>
  <si>
    <t>Seedlings vocational training</t>
  </si>
  <si>
    <t>Nuoc Ngot Social Protection Center / livelihood support</t>
  </si>
  <si>
    <t>Property mô tả hợp tác với Nuoc Ngot Social Protection Center; một hướng hỗ trợ sinh kế là trồng Melaleuca để tạo nguyên liệu tinh dầu.</t>
  </si>
  <si>
    <t>Local craft &amp; cultural experiences</t>
  </si>
  <si>
    <t>Stay for Good experiences</t>
  </si>
  <si>
    <t>Banyan Tree Lang Co đưa các hoạt động Stay for Good vào trải nghiệm khách, gồm craft/community và nature-oriented experiences.</t>
  </si>
  <si>
    <t>Low-energy operation &amp; hydropower reliance</t>
  </si>
  <si>
    <t>Topas describes low-energy operations and use of renewable sources; the 2026 ASEAN Green Hotel disclosure specifically notes solar-energy application in operations.</t>
  </si>
  <si>
    <t>Rainwater, greywater &amp; constructed-wetland treatment</t>
  </si>
  <si>
    <t>Topas describes rainwater collection/treatment, greywater reuse and wastewater treatment. Its 2026 award disclosure also states Hydroloop drinking-water testing in Sep 2025 met QCVN 01-1:2024/BYT indicators.</t>
  </si>
  <si>
    <t>Food-waste reuse &amp; glass crushing</t>
  </si>
  <si>
    <t>Food waste được chuyển cho hộ dân/nông dân địa phương; chai thủy tinh được nghiền để tái sử dụng như vật liệu/cát trong công trình.</t>
  </si>
  <si>
    <t>Single-use plastic elimination</t>
  </si>
  <si>
    <t>Topas reports eliminating single-use plastics, replacing them with self-degradable rice-flour bags, reusable bamboo straws and drinking water in glass bottles.</t>
  </si>
  <si>
    <t>Local food sourcing &amp; nearby farmers</t>
  </si>
  <si>
    <t>Topas Ecolodge's 2026 ASEAN Green Hotel disclosure states more than 80% of food and restaurant supplies are purchased directly from local farms in Ban Ho, Nam Cang and Thanh Kim.</t>
  </si>
  <si>
    <t>Biodiversity outcome disclosure</t>
  </si>
  <si>
    <t>Nguồn rà soát cho thấy resort nằm trong landscape Hoàng Liên và có nhiều practice bảo vệ môi trường, nhưng chưa tìm thấy biodiversity outcome KPI cụ thể.</t>
  </si>
  <si>
    <t>Local workforce from neighboring ethnic communities</t>
  </si>
  <si>
    <t>Topas Ecolodge's 2026 award disclosure states more than 98% of staff are ethnic minorities from surrounding villages; an older sustainability page states about 90%.</t>
  </si>
  <si>
    <t>Local artisans, crafts &amp; cultural identity</t>
  </si>
  <si>
    <t>Topas sử dụng local artisans/crafts và mô tả việc hỗ trợ thu nhập cho nghệ nhân; kiến trúc/ẩm thực/trải nghiệm gắn với văn hóa địa phương.</t>
  </si>
  <si>
    <t>Cultural workshops &amp; eco-token</t>
  </si>
  <si>
    <t>Guest có thể tham gia hoạt động văn hóa; resort cũng mô tả eco-token/incentive khi khách bỏ housekeeping để giảm resource use.</t>
  </si>
  <si>
    <t>Green Leaf Initiative / valley clean-up participation</t>
  </si>
  <si>
    <t>Topas states it organizes valley-area trash collection and encourages guests to join Green Leaf Initiative activities to protect the Hoang Lien Son landscape.</t>
  </si>
  <si>
    <t>10% reduction target / 3% progress</t>
  </si>
  <si>
    <t>Sustainability in Action đặt mục tiêu giảm 10% emissions liên quan energy/water/waste vào cuối 2026; tài liệu cho biết đến 31/12/2025 đạt 3% reduction.</t>
  </si>
  <si>
    <t>Carbon footprint per room night</t>
  </si>
  <si>
    <t>Marriott property overview công bố carbon footprint của resort ở mức 83,50 kg CO2e trên mỗi room night.</t>
  </si>
  <si>
    <t>Water footprint per room night</t>
  </si>
  <si>
    <t>Marriott property overview công bố water footprint 4.539,37 lít trên mỗi room night.</t>
  </si>
  <si>
    <t>Từ tháng 1/2025, resort công bố đã tránh hơn 81.000 chai nước nhựa nhờ chuyển sang reusable glass bottles.</t>
  </si>
  <si>
    <t>Guest-room recycling</t>
  </si>
  <si>
    <t>Marriott property overview liệt kê guest-room recycling như một sustainability feature.</t>
  </si>
  <si>
    <t>Responsible protein / seafood sourcing</t>
  </si>
  <si>
    <t>The property states it prioritizes responsibly raised/caught proteins, avoids vulnerable species and prioritizes sustainable seafood, but publishes no sourcing percentage.</t>
  </si>
  <si>
    <t>Biodiversity protection commitment</t>
  </si>
  <si>
    <t>The resort's Sustainability in Action statement includes a commitment to protecting and supporting biodiversity, but no property-specific biodiversity species/habitat KPI is disclosed.</t>
  </si>
  <si>
    <t>Road to Give fundraising / school scholarship support</t>
  </si>
  <si>
    <t>The resort reports achieving its 2025 USD 1,000 Road to Give fundraising target for Operation Smile Vietnam; for 2026 it set a USD 2,000 goal for scholarships at Son Tan Primary School.</t>
  </si>
  <si>
    <t>Local-material / fishing-village design references</t>
  </si>
  <si>
    <t>Property overview mô tả thiết kế dùng vật liệu tự nhiên, green roofs và brick screens gợi liên hệ tới nghề/khung cảnh địa phương.</t>
  </si>
  <si>
    <t>Guest conservation reminders / participation in fundraising</t>
  </si>
  <si>
    <t>The resort asks guests and visitors to follow water, energy and waste-reduction reminders and allows direct guest contributions to community fundraising through the Front Desk.</t>
  </si>
  <si>
    <t>Passive design / partial solar energy</t>
  </si>
  <si>
    <t>Six Senses Con Dao's 2025 Control Union certification announcement describes reclaimed materials, natural ventilation and partial solar power as part of sustainable design and operations.</t>
  </si>
  <si>
    <t>Treated wastewater for irrigation</t>
  </si>
  <si>
    <t>Property mô tả sử dụng treated wastewater để tưới khu vườn/landscape.</t>
  </si>
  <si>
    <t>Single-use plastic bottles avoided</t>
  </si>
  <si>
    <t>Property công bố 97.656 chai nhựa dùng một lần được tránh trong năm 2025.</t>
  </si>
  <si>
    <t>2R Station plastic diversion</t>
  </si>
  <si>
    <t>In collaboration with WWF and the Con Dao Youth Union, the 2R Station diverted 305 kg of plastic waste from landfill in 2025.</t>
  </si>
  <si>
    <t>National Park beach clean-ups</t>
  </si>
  <si>
    <t>Property công bố 1.763 kg rác được thu gom từ các bãi biển thuộc National Park trong 2025.</t>
  </si>
  <si>
    <t>Organic garden production</t>
  </si>
  <si>
    <t>Khu vườn hữu cơ khoảng 3.000 m² cùng các hoạt động trồng trọt/chăn nuôi tại property; resort công bố 5.641,70 kg rau tươi thu hoạch trong 2025.</t>
  </si>
  <si>
    <t>Green sea turtle conservation</t>
  </si>
  <si>
    <t>Six Senses Con Dao công bố 3.818 rùa xanh nguy cấp nở và được thả về biển trong năm 2025, phối hợp với Con Dao National Park.</t>
  </si>
  <si>
    <t>Property mô tả chương trình Water for All với 12 máy lọc nước và 3.879 người trong cộng đồng được hưởng lợi.</t>
  </si>
  <si>
    <t>English education</t>
  </si>
  <si>
    <t>Property công bố 84 giờ English classes cho cộng đồng trong năm 2025.</t>
  </si>
  <si>
    <t>Fishing-village design identity</t>
  </si>
  <si>
    <t>Property mô tả thiết kế lấy cảm hứng từ/giữ tinh thần của làng chài Côn Đảo trong kiến trúc resort.</t>
  </si>
  <si>
    <t>Turtle hatching / release experience</t>
  </si>
  <si>
    <t>Khách được mời tìm hiểu và tham gia trải nghiệm thả rùa khi điều kiện/timing phù hợp, gắn conservation trực tiếp với guest journey.</t>
  </si>
  <si>
    <t>Earth Lab / Green Journey / garden learning</t>
  </si>
  <si>
    <t>Property sustainability and experience pages invite guests to Earth Lab, sustainability tours and garden-based learning/harvesting experiences.</t>
  </si>
  <si>
    <t>Natural ventilation / solar hot water / low-energy design</t>
  </si>
  <si>
    <t>Mango Bay mô tả ưu tiên thông gió tự nhiên, solar hot water, natural light và các thiết bị/đèn tiết kiệm năng lượng để giảm nhu cầu điện.</t>
  </si>
  <si>
    <t>On-site water / wastewater treatment practices</t>
  </si>
  <si>
    <t>Mango Bay describes low-flow toilets, reed-bed greywater filtration and reuse of treated water for gardens/tree nurseries, alongside septic/wastewater management.</t>
  </si>
  <si>
    <t>Bulk buying, recycling &amp; organic-waste reuse</t>
  </si>
  <si>
    <t>Resort mô tả mua hàng bulk để giảm packaging, tái chế paper/glass và đưa organic/food waste cho vật nuôi hoặc mục đích tái sử dụng.</t>
  </si>
  <si>
    <t>Local purchasing</t>
  </si>
  <si>
    <t>Mango Bay công bố hơn 85% purchasing đến từ local suppliers.</t>
  </si>
  <si>
    <t>Wildlife At Risk biodiversity surveys</t>
  </si>
  <si>
    <t>Native species restoration with WAR / Phu Quoc National Park</t>
  </si>
  <si>
    <t>Mango Bay states it supports Wildlife At Risk and Phu Quoc National Park to collect and replant Dipterocarpus, a native plant becoming rare on the island.</t>
  </si>
  <si>
    <t>Local employment</t>
  </si>
  <si>
    <t>Mango Bay công bố hơn 80% nhân sự là người địa phương, cùng các hoạt động training/support cho staff.</t>
  </si>
  <si>
    <t>Local craftsmen &amp; materials</t>
  </si>
  <si>
    <t>Mango Bay mô tả sử dụng local craftsmen và local/recycled materials trong xây dựng/vận hành để phản ánh bối cảnh Phú Quốc.</t>
  </si>
  <si>
    <t>Structured sustainability participation metrics</t>
  </si>
  <si>
    <t>Trong nguồn rà soát, chưa tìm thấy metric hiện hành về số guest tham gia hoạt động sustainability/conservation tại Mango Bay.</t>
  </si>
  <si>
    <t>Wildlife awareness photo exhibition with WAR</t>
  </si>
  <si>
    <t>Wildlife At Risk reports a month-long 'Lucky Wildlife' photo exhibition at Mango Bay in 2015; roughly 40 people attended the opening and more than 40 endangered-wildlife photos were displayed.</t>
  </si>
  <si>
    <t>Property-level energy/carbon performance</t>
  </si>
  <si>
    <t>Trong nguồn sustainability đã rà, chưa tìm thấy KPI energy intensity hoặc carbon emissions riêng của Avana.</t>
  </si>
  <si>
    <t>Trong nguồn sustainability đã rà, chưa tìm thấy water intensity / annual water-use KPI riêng của Avana.</t>
  </si>
  <si>
    <t>Plastic-free / reduction approach</t>
  </si>
  <si>
    <t>Avana mô tả định hướng hạn chế/loại bỏ nhiều sản phẩm nhựa dùng một lần trong vận hành và guest experience.</t>
  </si>
  <si>
    <t>Organic garden / Cooking with Chef</t>
  </si>
  <si>
    <t>Reforestation / tree restoration</t>
  </si>
  <si>
    <t>Biodiversity survey / species recording</t>
  </si>
  <si>
    <t>Guardians of Earth 2025 report records 151 species at Avana. The resort cites the same result and states this represented 74% of known species in the broader Mai Chau comparison used by GOE.</t>
  </si>
  <si>
    <t>Guardians of Earth BioScore change</t>
  </si>
  <si>
    <t>Avana/GOE report a BioScore increase from 4,972.12 to 6,793.94, described as a 24.6% increase, with Biocultural Units rising from 5.4 to 6.4.</t>
  </si>
  <si>
    <t>Avana's current biodiversity page states 98% of staff are local Thai, H'Mong and Muong people; other Avana sustainability pages and the 2025 Guardians of Earth report state 90%.</t>
  </si>
  <si>
    <t>Local landscaping team</t>
  </si>
  <si>
    <t>Indigenous artisans &amp; vernacular design</t>
  </si>
  <si>
    <t>Resort mô tả villas/bungalows được phát triển với hướng dẫn/tham gia của nghệ nhân từ các nhóm dân tộc tại Mai Châu, đưa local building knowledge vào design.</t>
  </si>
  <si>
    <t>Organic garden / Cooking with the Chef / cultural workshops</t>
  </si>
  <si>
    <t>Guests can visit the organic herb garden, harvest ingredients for cooking experiences, and engage with local-culture activities led or informed by local artisans.</t>
  </si>
  <si>
    <t>Energy performance – total electricity &amp; intensity</t>
  </si>
  <si>
    <t>Sustainability Report 2024–2025 báo cáo tổng điện tiêu thụ giảm 12,4%; mức điện năm 2025 là 2,81 kWh trên mỗi guest night.</t>
  </si>
  <si>
    <t>Water use per guest night</t>
  </si>
  <si>
    <t>Report cho biết water per guest night giảm từ 0,71 m³ năm 2024 xuống 0,68 m³ năm 2025, trong bối cảnh occupancy tăng 14,8%.</t>
  </si>
  <si>
    <t>Landfilled waste</t>
  </si>
  <si>
    <t>Sustainability Report 2024–2025 nêu 1.536 kg rác chôn lấp trong phần key performance highlights; report mô tả landfill giảm nhờ phân loại tốt hơn và giảm bao bì nhựa.</t>
  </si>
  <si>
    <t>Single-use plastic elimination across procurement</t>
  </si>
  <si>
    <t>Report cho thấy phạm vi loại bỏ single-use plastic trong mua sắm mở rộng từ F&amp;B và Housekeeping năm 2024 sang toàn resort năm 2025, bao gồm Spa và Engineering.</t>
  </si>
  <si>
    <t>Waste2Green organic-waste processing</t>
  </si>
  <si>
    <t>Silk Sense reports that nearly 24 tons of organic waste were processed through the Waste2Green system in 2024 and converted to compost on site.</t>
  </si>
  <si>
    <t>Local supplier ratio</t>
  </si>
  <si>
    <t>Native landscape &amp; biodiversity awareness</t>
  </si>
  <si>
    <t>Report mô tả resort duy trì cây bản địa, water features và green areas; biodiversity information được trưng bày tại Front Office và guest rooms, đồng thời staff được đào tạo về biodiversity.</t>
  </si>
  <si>
    <t>Local workforce</t>
  </si>
  <si>
    <t>Green Christmas flood-relief fundraising</t>
  </si>
  <si>
    <t>Silk Sense reports raising VND 70,000,000 through a guest/community cultural fundraising campaign and donating it to the Saigon Times flood-relief fund.</t>
  </si>
  <si>
    <t>Local crafts &amp; cultural activities</t>
  </si>
  <si>
    <t>Report nói resort ưu tiên mua local produce, handicrafts và kitchen ingredients từ community suppliers, đồng thời hỗ trợ các hoạt động văn hóa và lễ hội cộng đồng.</t>
  </si>
  <si>
    <t>Caman organic garden / cooking-class experience</t>
  </si>
  <si>
    <t>Caman Village supplies organic herbs/vegetables to resort restaurants and is also used for guest discovery/cooking experiences.</t>
  </si>
  <si>
    <t>Guest-facing biodiversity information</t>
  </si>
  <si>
    <t>Biodiversity information được trưng bày tại Front Office và trong guest rooms, đưa sustainability information vào guest journey.</t>
  </si>
  <si>
    <t>Passive design / solar / efficient equipment</t>
  </si>
  <si>
    <t>Solar-powered electric buggies</t>
  </si>
  <si>
    <t>Waste/plastic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</si>
</sst>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rgb="FF000000"/>
      <name val="Carlito"/>
    </font>
    <font>
      <b/>
      <sz val="16"/>
      <color rgb="FFFFFFFF"/>
      <name val="Carlito"/>
    </font>
    <font>
      <sz val="10"/>
      <color rgb="FF1F2937"/>
      <name val="Carlito"/>
    </font>
    <font>
      <sz val="9"/>
      <color rgb="FF0563C1"/>
      <name val="Carlito"/>
    </font>
    <font>
      <b/>
      <sz val="15"/>
      <color rgb="FFFFFFFF"/>
      <name val="Carlito"/>
    </font>
    <font>
      <b/>
      <sz val="11"/>
      <color rgb="FF1F2937"/>
      <name val="Carlito"/>
    </font>
    <font>
      <b/>
      <sz val="11"/>
      <color rgb="FFFFFFFF"/>
      <name val="Carlito"/>
    </font>
    <font>
      <b/>
      <sz val="11"/>
      <color rgb="FF000000"/>
      <name val="Carlito"/>
    </font>
    <font>
      <sz val="11"/>
      <color theme="10"/>
      <name val="Carlito"/>
    </font>
    <font>
      <sz val="9"/>
      <color rgb="FF0070C0"/>
      <name val="Carlito"/>
    </font>
    <font>
      <b/>
      <sz val="10"/>
      <color rgb="FF245447"/>
      <name val="Aptos"/>
      <family val="2"/>
    </font>
    <font>
      <sz val="10"/>
      <color rgb="FF1F2D27"/>
      <name val="Aptos"/>
      <family val="2"/>
    </font>
    <font>
      <b/>
      <sz val="11"/>
      <color rgb="FF1F2937"/>
      <name val="Aptos"/>
      <family val="2"/>
    </font>
    <font>
      <b/>
      <sz val="9"/>
      <color rgb="FF245447"/>
      <name val="Aptos"/>
      <family val="2"/>
    </font>
    <font>
      <sz val="9"/>
      <color rgb="FF1F2D27"/>
      <name val="Aptos"/>
      <family val="2"/>
    </font>
    <font>
      <sz val="10"/>
      <color rgb="FF1F2D27"/>
      <name val="Aptos"/>
      <family val="2"/>
    </font>
    <font>
      <sz val="15"/>
      <color rgb="FF000000"/>
      <name val="Carlito"/>
    </font>
    <font>
      <b/>
      <sz val="12"/>
      <color rgb="FF1F2937"/>
      <name val="Carlito"/>
    </font>
    <font>
      <b/>
      <sz val="10"/>
      <color rgb="FF245447"/>
      <name val="Carlito"/>
    </font>
    <font>
      <b/>
      <sz val="11"/>
      <color rgb="FF245447"/>
      <name val="Carlito"/>
    </font>
    <font>
      <b/>
      <sz val="11"/>
      <name val="Carlito"/>
    </font>
    <font>
      <sz val="11"/>
      <name val="Carlito"/>
    </font>
    <font>
      <sz val="9"/>
      <color rgb="FF1F2937"/>
      <name val="Aptos"/>
      <family val="2"/>
    </font>
    <font>
      <b/>
      <sz val="9"/>
      <color rgb="FF1F2937"/>
      <name val="Aptos"/>
      <family val="2"/>
    </font>
    <font>
      <b/>
      <sz val="18"/>
      <color rgb="FFFFFFFF"/>
      <name val="Carlito"/>
    </font>
    <font>
      <sz val="18"/>
      <color rgb="FF000000"/>
      <name val="Carlito"/>
    </font>
  </fonts>
  <fills count="24">
    <fill>
      <patternFill patternType="none"/>
    </fill>
    <fill>
      <patternFill patternType="gray125"/>
    </fill>
    <fill>
      <patternFill patternType="solid">
        <fgColor rgb="FF375623"/>
      </patternFill>
    </fill>
    <fill>
      <patternFill patternType="solid">
        <fgColor rgb="FFC6E0B4"/>
      </patternFill>
    </fill>
    <fill>
      <patternFill patternType="solid">
        <fgColor rgb="FFFFF2CC"/>
      </patternFill>
    </fill>
    <fill>
      <patternFill patternType="solid">
        <fgColor rgb="FFE2F0D9"/>
      </patternFill>
    </fill>
    <fill>
      <patternFill patternType="solid">
        <fgColor rgb="FF2F5A1F"/>
      </patternFill>
    </fill>
    <fill>
      <patternFill patternType="solid">
        <fgColor rgb="FFC6E0B4"/>
      </patternFill>
    </fill>
    <fill>
      <patternFill patternType="solid">
        <fgColor rgb="FF70AD47"/>
      </patternFill>
    </fill>
    <fill>
      <patternFill patternType="solid">
        <fgColor rgb="FFA9D18E"/>
      </patternFill>
    </fill>
    <fill>
      <patternFill patternType="solid">
        <fgColor rgb="FFFFE699"/>
      </patternFill>
    </fill>
    <fill>
      <patternFill patternType="solid">
        <fgColor rgb="FFDDEBF7"/>
      </patternFill>
    </fill>
    <fill>
      <patternFill patternType="solid">
        <fgColor rgb="FFF4CCCC"/>
      </patternFill>
    </fill>
    <fill>
      <patternFill patternType="solid">
        <fgColor rgb="FFD9D9D9"/>
      </patternFill>
    </fill>
    <fill>
      <patternFill patternType="solid">
        <fgColor rgb="FFF8CBAD"/>
      </patternFill>
    </fill>
    <fill>
      <patternFill patternType="solid">
        <fgColor rgb="FFE2F0D9"/>
      </patternFill>
    </fill>
    <fill>
      <patternFill patternType="solid">
        <fgColor rgb="FFFFF2CC"/>
      </patternFill>
    </fill>
    <fill>
      <patternFill patternType="solid">
        <fgColor rgb="FFF6F8F6"/>
      </patternFill>
    </fill>
    <fill>
      <patternFill patternType="solid">
        <fgColor rgb="FFC6E0B4"/>
      </patternFill>
    </fill>
    <fill>
      <patternFill patternType="solid">
        <fgColor rgb="FFC6E0B4"/>
      </patternFill>
    </fill>
    <fill>
      <patternFill patternType="solid">
        <fgColor rgb="FFC6E0B4"/>
      </patternFill>
    </fill>
    <fill>
      <patternFill patternType="solid">
        <fgColor theme="2" tint="-4.9989318521683403E-2"/>
        <bgColor indexed="65"/>
      </patternFill>
    </fill>
    <fill>
      <patternFill patternType="solid">
        <fgColor rgb="FFF6F8F6"/>
        <bgColor indexed="64"/>
      </patternFill>
    </fill>
    <fill>
      <patternFill patternType="solid">
        <fgColor rgb="FFFFFFFF"/>
        <bgColor indexed="64"/>
      </patternFill>
    </fill>
  </fills>
  <borders count="9">
    <border>
      <left/>
      <right/>
      <top/>
      <bottom/>
      <diagonal/>
    </border>
    <border>
      <left/>
      <right/>
      <top/>
      <bottom/>
      <diagonal/>
    </border>
    <border>
      <left/>
      <right/>
      <top/>
      <bottom/>
      <diagonal/>
    </border>
    <border>
      <left/>
      <right/>
      <top/>
      <bottom/>
      <diagonal/>
    </border>
    <border>
      <left/>
      <right/>
      <top/>
      <bottom style="thin">
        <color indexed="64"/>
      </bottom>
      <diagonal/>
    </border>
    <border>
      <left style="thin">
        <color rgb="FFD5DDD8"/>
      </left>
      <right style="thin">
        <color rgb="FFD5DDD8"/>
      </right>
      <top style="thin">
        <color rgb="FFD5DDD8"/>
      </top>
      <bottom style="thin">
        <color rgb="FFD5DDD8"/>
      </bottom>
      <diagonal/>
    </border>
    <border>
      <left/>
      <right/>
      <top/>
      <bottom style="thin">
        <color rgb="FFD5DDD8"/>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8" fillId="0" borderId="0" applyNumberFormat="0" applyFill="0" applyBorder="0" applyAlignment="0" applyProtection="0"/>
  </cellStyleXfs>
  <cellXfs count="88">
    <xf numFmtId="0" fontId="0" fillId="0" borderId="0" xfId="0"/>
    <xf numFmtId="0" fontId="2" fillId="0" borderId="0" xfId="0" applyFont="1" applyAlignment="1">
      <alignment vertical="top" wrapText="1"/>
    </xf>
    <xf numFmtId="0" fontId="2" fillId="5" borderId="0" xfId="0" applyFont="1" applyFill="1" applyAlignment="1">
      <alignment vertical="top" wrapText="1"/>
    </xf>
    <xf numFmtId="0" fontId="2" fillId="4" borderId="0" xfId="0" applyFont="1" applyFill="1" applyAlignment="1">
      <alignment vertical="top" wrapText="1"/>
    </xf>
    <xf numFmtId="0" fontId="3" fillId="0" borderId="0" xfId="0" applyFont="1" applyAlignment="1">
      <alignment vertical="top" wrapText="1"/>
    </xf>
    <xf numFmtId="0" fontId="2" fillId="5" borderId="3" xfId="0" applyFont="1" applyFill="1" applyBorder="1" applyAlignment="1">
      <alignment vertical="top" wrapText="1"/>
    </xf>
    <xf numFmtId="0" fontId="2" fillId="4" borderId="3" xfId="0" applyFont="1" applyFill="1" applyBorder="1" applyAlignment="1">
      <alignment vertical="top" wrapText="1"/>
    </xf>
    <xf numFmtId="4" fontId="2" fillId="0" borderId="0" xfId="0" applyNumberFormat="1" applyFont="1" applyAlignment="1">
      <alignment vertical="top" wrapText="1"/>
    </xf>
    <xf numFmtId="0" fontId="0" fillId="0" borderId="0" xfId="0" applyAlignment="1">
      <alignment wrapText="1"/>
    </xf>
    <xf numFmtId="0" fontId="6" fillId="8" borderId="0" xfId="0" applyFont="1" applyFill="1" applyAlignment="1">
      <alignment wrapText="1"/>
    </xf>
    <xf numFmtId="0" fontId="5" fillId="9" borderId="0" xfId="0" applyFont="1" applyFill="1" applyAlignment="1">
      <alignment wrapText="1"/>
    </xf>
    <xf numFmtId="0" fontId="5" fillId="10" borderId="0" xfId="0" applyFont="1" applyFill="1" applyAlignment="1">
      <alignment wrapText="1"/>
    </xf>
    <xf numFmtId="0" fontId="5" fillId="11" borderId="0" xfId="0" applyFont="1" applyFill="1" applyAlignment="1">
      <alignment wrapText="1"/>
    </xf>
    <xf numFmtId="0" fontId="5" fillId="12" borderId="0" xfId="0" applyFont="1" applyFill="1" applyAlignment="1">
      <alignment wrapText="1"/>
    </xf>
    <xf numFmtId="0" fontId="5" fillId="13" borderId="0" xfId="0" applyFont="1" applyFill="1" applyAlignment="1">
      <alignment wrapText="1"/>
    </xf>
    <xf numFmtId="0" fontId="5" fillId="7" borderId="0" xfId="0"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xf>
    <xf numFmtId="0" fontId="8" fillId="0" borderId="0" xfId="1" applyAlignment="1">
      <alignment vertical="top" wrapText="1"/>
    </xf>
    <xf numFmtId="0" fontId="9" fillId="0" borderId="0" xfId="1" applyFont="1" applyAlignment="1">
      <alignment vertical="top" wrapText="1"/>
    </xf>
    <xf numFmtId="0" fontId="2" fillId="0" borderId="0" xfId="0" applyFont="1" applyAlignment="1">
      <alignment horizontal="left" vertical="top"/>
    </xf>
    <xf numFmtId="0" fontId="2" fillId="0" borderId="0" xfId="0" applyFont="1" applyAlignment="1">
      <alignment horizontal="left" vertical="top" wrapText="1"/>
    </xf>
    <xf numFmtId="0" fontId="2" fillId="15" borderId="0" xfId="0" applyFont="1" applyFill="1" applyAlignment="1">
      <alignment horizontal="left" vertical="top"/>
    </xf>
    <xf numFmtId="0" fontId="8" fillId="0" borderId="0" xfId="1" applyAlignment="1">
      <alignment horizontal="left" vertical="top"/>
    </xf>
    <xf numFmtId="0" fontId="3" fillId="0" borderId="0" xfId="1" applyFont="1" applyAlignment="1">
      <alignment horizontal="left" vertical="top"/>
    </xf>
    <xf numFmtId="0" fontId="2" fillId="16" borderId="0" xfId="0" applyFont="1" applyFill="1" applyAlignment="1">
      <alignment horizontal="left" vertical="top" wrapText="1"/>
    </xf>
    <xf numFmtId="0" fontId="2" fillId="5" borderId="0" xfId="0" applyFont="1" applyFill="1" applyAlignment="1">
      <alignment horizontal="left" vertical="top"/>
    </xf>
    <xf numFmtId="0" fontId="2" fillId="4" borderId="0" xfId="0" applyFont="1" applyFill="1" applyAlignment="1">
      <alignment horizontal="left" vertical="top" wrapText="1"/>
    </xf>
    <xf numFmtId="0" fontId="2" fillId="0" borderId="3" xfId="0" applyFont="1" applyBorder="1" applyAlignment="1">
      <alignment vertical="top" wrapText="1"/>
    </xf>
    <xf numFmtId="0" fontId="10" fillId="0" borderId="5" xfId="0" applyFont="1" applyBorder="1" applyAlignment="1">
      <alignment vertical="top" wrapText="1"/>
    </xf>
    <xf numFmtId="0" fontId="11" fillId="0" borderId="5" xfId="0" applyFont="1" applyBorder="1" applyAlignment="1">
      <alignment vertical="top" wrapText="1"/>
    </xf>
    <xf numFmtId="0" fontId="10" fillId="17" borderId="5" xfId="0" applyFont="1" applyFill="1" applyBorder="1" applyAlignment="1">
      <alignment vertical="top" wrapText="1"/>
    </xf>
    <xf numFmtId="0" fontId="11" fillId="17" borderId="5" xfId="0" applyFont="1" applyFill="1" applyBorder="1" applyAlignment="1">
      <alignment vertical="top" wrapText="1"/>
    </xf>
    <xf numFmtId="0" fontId="12" fillId="19" borderId="5" xfId="0" applyFont="1" applyFill="1" applyBorder="1" applyAlignment="1">
      <alignment horizontal="center" vertical="center" wrapText="1"/>
    </xf>
    <xf numFmtId="0" fontId="4" fillId="0" borderId="0" xfId="0" applyFont="1"/>
    <xf numFmtId="0" fontId="13" fillId="0" borderId="5" xfId="0" applyFont="1" applyBorder="1" applyAlignment="1">
      <alignment vertical="top" wrapText="1"/>
    </xf>
    <xf numFmtId="0" fontId="14" fillId="0" borderId="5" xfId="0" applyFont="1" applyBorder="1" applyAlignment="1">
      <alignment vertical="top" wrapText="1"/>
    </xf>
    <xf numFmtId="0" fontId="13" fillId="17" borderId="5" xfId="0" applyFont="1" applyFill="1" applyBorder="1" applyAlignment="1">
      <alignment vertical="top" wrapText="1"/>
    </xf>
    <xf numFmtId="0" fontId="14" fillId="17" borderId="5" xfId="0" applyFont="1" applyFill="1" applyBorder="1" applyAlignment="1">
      <alignment vertical="top" wrapText="1"/>
    </xf>
    <xf numFmtId="0" fontId="15" fillId="0" borderId="5" xfId="0" applyFont="1" applyBorder="1" applyAlignment="1">
      <alignment vertical="top" wrapText="1"/>
    </xf>
    <xf numFmtId="0" fontId="15" fillId="17" borderId="5" xfId="0" applyFont="1" applyFill="1" applyBorder="1" applyAlignment="1">
      <alignment vertical="top" wrapText="1"/>
    </xf>
    <xf numFmtId="0" fontId="12" fillId="20" borderId="5" xfId="0" applyFont="1" applyFill="1" applyBorder="1" applyAlignment="1">
      <alignment horizontal="center" vertical="center" wrapText="1"/>
    </xf>
    <xf numFmtId="0" fontId="0" fillId="21" borderId="0" xfId="0" applyFill="1" applyAlignment="1">
      <alignment horizontal="left" vertical="center" wrapText="1"/>
    </xf>
    <xf numFmtId="0" fontId="0" fillId="0" borderId="0" xfId="0" applyAlignment="1">
      <alignment vertical="center"/>
    </xf>
    <xf numFmtId="0" fontId="5" fillId="18" borderId="0" xfId="0" applyFont="1" applyFill="1" applyAlignment="1">
      <alignment horizontal="center" vertical="center" wrapText="1"/>
    </xf>
    <xf numFmtId="0" fontId="5" fillId="7" borderId="0" xfId="0" applyFont="1" applyFill="1" applyAlignment="1">
      <alignment vertical="center" wrapText="1"/>
    </xf>
    <xf numFmtId="0" fontId="19" fillId="0" borderId="0" xfId="0" applyFont="1" applyAlignment="1">
      <alignment wrapText="1"/>
    </xf>
    <xf numFmtId="0" fontId="19" fillId="21" borderId="0" xfId="0" applyFont="1" applyFill="1" applyAlignment="1">
      <alignment horizontal="left" vertical="center" wrapText="1"/>
    </xf>
    <xf numFmtId="0" fontId="19" fillId="0" borderId="0" xfId="0" applyFont="1" applyAlignment="1">
      <alignment horizontal="left" vertical="center" wrapText="1"/>
    </xf>
    <xf numFmtId="0" fontId="18" fillId="0" borderId="0" xfId="0" applyFont="1" applyAlignment="1">
      <alignment vertical="top" wrapText="1"/>
    </xf>
    <xf numFmtId="0" fontId="19" fillId="0" borderId="0" xfId="0" applyFont="1"/>
    <xf numFmtId="0" fontId="20"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21" fillId="0" borderId="0" xfId="0" applyFont="1"/>
    <xf numFmtId="0" fontId="18" fillId="0" borderId="0" xfId="0" applyFont="1" applyAlignment="1">
      <alignment horizontal="left" vertical="top"/>
    </xf>
    <xf numFmtId="0" fontId="20" fillId="3" borderId="2" xfId="0" applyFont="1" applyFill="1" applyBorder="1" applyAlignment="1">
      <alignment horizontal="center" vertical="center" wrapText="1"/>
    </xf>
    <xf numFmtId="0" fontId="12" fillId="3" borderId="0" xfId="0" applyFont="1" applyFill="1" applyAlignment="1">
      <alignment horizontal="center" vertical="center" wrapText="1"/>
    </xf>
    <xf numFmtId="0" fontId="22" fillId="0" borderId="0" xfId="0" applyFont="1" applyAlignment="1">
      <alignment vertical="top" wrapText="1"/>
    </xf>
    <xf numFmtId="0" fontId="22" fillId="0" borderId="0" xfId="0" applyFont="1" applyAlignment="1">
      <alignment horizontal="center"/>
    </xf>
    <xf numFmtId="0" fontId="16" fillId="0" borderId="0" xfId="0" applyFont="1"/>
    <xf numFmtId="0" fontId="17" fillId="18" borderId="3" xfId="0" applyFont="1" applyFill="1" applyBorder="1" applyAlignment="1">
      <alignment horizontal="center" vertical="center" wrapText="1"/>
    </xf>
    <xf numFmtId="0" fontId="25" fillId="0" borderId="0" xfId="0" applyFont="1" applyAlignment="1">
      <alignment horizontal="center"/>
    </xf>
    <xf numFmtId="0" fontId="24" fillId="21" borderId="0" xfId="0" applyFont="1" applyFill="1" applyAlignment="1">
      <alignment vertical="center"/>
    </xf>
    <xf numFmtId="0" fontId="5" fillId="7" borderId="7" xfId="0" applyFont="1" applyFill="1" applyBorder="1" applyAlignment="1">
      <alignment vertical="center" wrapText="1"/>
    </xf>
    <xf numFmtId="0" fontId="0" fillId="0" borderId="7" xfId="0" applyBorder="1" applyAlignment="1">
      <alignment wrapText="1"/>
    </xf>
    <xf numFmtId="0" fontId="5" fillId="14" borderId="4" xfId="0" applyFont="1" applyFill="1" applyBorder="1" applyAlignment="1">
      <alignment wrapText="1"/>
    </xf>
    <xf numFmtId="0" fontId="0" fillId="0" borderId="4" xfId="0" applyBorder="1" applyAlignment="1">
      <alignment wrapText="1"/>
    </xf>
    <xf numFmtId="0" fontId="0" fillId="0" borderId="8" xfId="0" applyBorder="1" applyAlignment="1">
      <alignment wrapText="1"/>
    </xf>
    <xf numFmtId="0" fontId="0" fillId="0" borderId="0" xfId="0" applyAlignment="1">
      <alignment vertical="center" wrapText="1"/>
    </xf>
    <xf numFmtId="0" fontId="14" fillId="22" borderId="5" xfId="0" applyFont="1" applyFill="1" applyBorder="1" applyAlignment="1">
      <alignment vertical="top" wrapText="1"/>
    </xf>
    <xf numFmtId="0" fontId="22" fillId="22" borderId="0" xfId="0" applyFont="1" applyFill="1" applyAlignment="1">
      <alignment vertical="top" wrapText="1"/>
    </xf>
    <xf numFmtId="0" fontId="22" fillId="23" borderId="0" xfId="0" applyFont="1" applyFill="1" applyAlignment="1">
      <alignment vertical="top" wrapText="1"/>
    </xf>
    <xf numFmtId="0" fontId="13" fillId="23" borderId="5" xfId="0" applyFont="1" applyFill="1" applyBorder="1" applyAlignment="1">
      <alignment vertical="top" wrapText="1"/>
    </xf>
    <xf numFmtId="0" fontId="14" fillId="23" borderId="5" xfId="0" applyFont="1" applyFill="1" applyBorder="1" applyAlignment="1">
      <alignment vertical="top" wrapText="1"/>
    </xf>
    <xf numFmtId="0" fontId="0" fillId="23" borderId="0" xfId="0" applyFill="1"/>
    <xf numFmtId="0" fontId="24" fillId="6" borderId="0" xfId="0" applyFont="1" applyFill="1" applyAlignment="1">
      <alignment horizontal="center" vertical="center"/>
    </xf>
    <xf numFmtId="0" fontId="22" fillId="23" borderId="0" xfId="0" applyFont="1" applyFill="1" applyAlignment="1">
      <alignment horizontal="center" vertical="top" wrapText="1"/>
    </xf>
    <xf numFmtId="0" fontId="22" fillId="22" borderId="0" xfId="0" applyFont="1" applyFill="1" applyAlignment="1">
      <alignment horizontal="center" vertical="top" wrapText="1"/>
    </xf>
    <xf numFmtId="0" fontId="22" fillId="0" borderId="0" xfId="0" applyFont="1" applyAlignment="1">
      <alignment horizontal="center" vertical="top" wrapText="1"/>
    </xf>
    <xf numFmtId="0" fontId="4" fillId="6" borderId="3" xfId="0" applyFont="1" applyFill="1" applyBorder="1" applyAlignment="1">
      <alignment horizontal="center" vertical="center"/>
    </xf>
    <xf numFmtId="0" fontId="23" fillId="3" borderId="0" xfId="0" applyFont="1" applyFill="1" applyAlignment="1">
      <alignment horizontal="center" vertical="center" wrapText="1"/>
    </xf>
    <xf numFmtId="0" fontId="4" fillId="6" borderId="6" xfId="0" applyFont="1" applyFill="1" applyBorder="1" applyAlignment="1">
      <alignment horizontal="left" vertical="center"/>
    </xf>
    <xf numFmtId="0" fontId="1" fillId="2" borderId="0" xfId="0" applyFont="1" applyFill="1" applyAlignment="1">
      <alignment vertical="center"/>
    </xf>
    <xf numFmtId="0" fontId="0" fillId="0" borderId="0" xfId="0"/>
    <xf numFmtId="0" fontId="3" fillId="0" borderId="0" xfId="1" applyFont="1" applyAlignment="1">
      <alignment vertical="top" wrapText="1"/>
    </xf>
  </cellXfs>
  <cellStyles count="2">
    <cellStyle name="Hyperlink" xfId="1" xr:uid="{00000000-0005-0000-0000-000000000000}"/>
    <cellStyle name="Normal" xfId="0" builtinId="0"/>
  </cellStyles>
  <dxfs count="26">
    <dxf>
      <font>
        <b/>
        <i val="0"/>
        <strike val="0"/>
        <condense val="0"/>
        <extend val="0"/>
        <outline val="0"/>
        <shadow val="0"/>
        <u val="none"/>
        <vertAlign val="baseline"/>
        <sz val="11"/>
        <color rgb="FF245447"/>
        <name val="Carlito"/>
        <scheme val="none"/>
      </font>
    </dxf>
    <dxf>
      <fill>
        <patternFill>
          <bgColor rgb="FFE7E6E6"/>
        </patternFill>
      </fill>
    </dxf>
    <dxf>
      <fill>
        <patternFill>
          <bgColor rgb="FFF4CCCC"/>
        </patternFill>
      </fill>
    </dxf>
    <dxf>
      <font>
        <b/>
      </font>
      <fill>
        <patternFill>
          <bgColor rgb="FFA9D18E"/>
        </patternFill>
      </fill>
    </dxf>
    <dxf>
      <font>
        <color rgb="FF1F2937"/>
      </font>
      <fill>
        <patternFill>
          <bgColor rgb="FFF8CBAD"/>
        </patternFill>
      </fill>
    </dxf>
    <dxf>
      <font>
        <color rgb="FF1F2937"/>
      </font>
      <fill>
        <patternFill>
          <bgColor rgb="FFD9D9D9"/>
        </patternFill>
      </fill>
    </dxf>
    <dxf>
      <font>
        <color rgb="FF1F2937"/>
      </font>
      <fill>
        <patternFill>
          <bgColor rgb="FFF4CCCC"/>
        </patternFill>
      </fill>
    </dxf>
    <dxf>
      <font>
        <color rgb="FF1F2937"/>
      </font>
      <fill>
        <patternFill>
          <bgColor rgb="FFDDEBF7"/>
        </patternFill>
      </fill>
    </dxf>
    <dxf>
      <font>
        <color rgb="FF1F2937"/>
      </font>
      <fill>
        <patternFill>
          <bgColor rgb="FFFFE699"/>
        </patternFill>
      </fill>
    </dxf>
    <dxf>
      <font>
        <b/>
        <color rgb="FF1F2937"/>
      </font>
      <fill>
        <patternFill>
          <bgColor rgb="FFA9D18E"/>
        </patternFill>
      </fill>
    </dxf>
    <dxf>
      <font>
        <b/>
        <color rgb="FFFFFFFF"/>
      </font>
      <fill>
        <patternFill>
          <bgColor rgb="FF70AD47"/>
        </patternFill>
      </fill>
    </dxf>
    <dxf>
      <font>
        <u val="none"/>
        <sz val="9"/>
        <color rgb="FF0563C1"/>
        <name val="Carlito"/>
        <scheme val="none"/>
      </font>
    </dxf>
    <dxf>
      <font>
        <u val="none"/>
        <sz val="10"/>
        <color rgb="FF1F2937"/>
        <name val="Carlito"/>
        <scheme val="none"/>
      </font>
      <fill>
        <patternFill>
          <bgColor indexed="64"/>
        </patternFill>
      </fill>
    </dxf>
    <dxf>
      <font>
        <u val="none"/>
        <sz val="10"/>
        <color rgb="FF1F2937"/>
        <name val="Carlito"/>
        <scheme val="none"/>
      </font>
      <fill>
        <patternFill patternType="solid">
          <bgColor auto="1"/>
        </patternFill>
      </fill>
    </dxf>
    <dxf>
      <font>
        <u val="none"/>
        <sz val="10"/>
        <color rgb="FF1F2937"/>
        <name val="Carlito"/>
        <scheme val="none"/>
      </font>
      <fill>
        <patternFill patternType="solid">
          <bgColor auto="1"/>
        </patternFill>
      </fill>
    </dxf>
    <dxf>
      <font>
        <u val="none"/>
        <sz val="10"/>
        <color rgb="FF1F2937"/>
        <name val="Carlito"/>
        <scheme val="none"/>
      </font>
    </dxf>
    <dxf>
      <font>
        <u val="none"/>
        <sz val="10"/>
        <color rgb="FF1F2937"/>
        <name val="Carlito"/>
        <scheme val="none"/>
      </font>
      <fill>
        <patternFill patternType="solid">
          <bgColor auto="1"/>
        </patternFill>
      </fill>
    </dxf>
    <dxf>
      <font>
        <u val="none"/>
        <sz val="10"/>
        <color rgb="FF1F2937"/>
        <name val="Carlito"/>
        <scheme val="none"/>
      </font>
    </dxf>
    <dxf>
      <font>
        <u val="none"/>
        <sz val="10"/>
        <color rgb="FF1F2937"/>
        <name val="Carlito"/>
        <scheme val="none"/>
      </font>
    </dxf>
    <dxf>
      <font>
        <u val="none"/>
        <sz val="10"/>
        <color rgb="FF1F2937"/>
        <name val="Carlito"/>
        <scheme val="none"/>
      </font>
      <fill>
        <patternFill>
          <bgColor indexed="64"/>
        </patternFill>
      </fill>
    </dxf>
    <dxf>
      <font>
        <u val="none"/>
        <sz val="10"/>
        <color rgb="FF1F2937"/>
        <name val="Carlito"/>
        <scheme val="none"/>
      </font>
    </dxf>
    <dxf>
      <font>
        <u val="none"/>
        <sz val="10"/>
        <color rgb="FF1F2937"/>
        <name val="Carlito"/>
        <scheme val="none"/>
      </font>
    </dxf>
    <dxf>
      <font>
        <u val="none"/>
        <sz val="10"/>
        <color rgb="FF1F2937"/>
        <name val="Carlito"/>
        <scheme val="none"/>
      </font>
    </dxf>
    <dxf>
      <font>
        <u val="none"/>
        <sz val="10"/>
        <color rgb="FF1F2937"/>
        <name val="Carlito"/>
        <scheme val="none"/>
      </font>
    </dxf>
    <dxf>
      <font>
        <b/>
        <u val="none"/>
        <sz val="10"/>
        <color rgb="FF245447"/>
        <name val="Carlito"/>
        <scheme val="none"/>
      </font>
    </dxf>
    <dxf>
      <font>
        <b/>
        <u val="none"/>
        <color rgb="FF245447"/>
        <name val="Carlito"/>
        <scheme val="none"/>
      </font>
    </dxf>
  </dxfs>
  <tableStyles count="0" defaultTableStyle="TableStyleMedium2" defaultPivotStyle="PivotStyleLight16"/>
  <colors>
    <mruColors>
      <color rgb="FF0563C1"/>
      <color rgb="FFFFFFFF"/>
      <color rgb="FFF6F8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0"/>
      <c:rotY val="0"/>
      <c:rAngAx val="0"/>
    </c:view3D>
    <c:floor>
      <c:thickness val="0"/>
    </c:floor>
    <c:sideWall>
      <c:thickness val="0"/>
    </c:sideWall>
    <c:backWall>
      <c:thickness val="0"/>
    </c:backWall>
    <c:plotArea>
      <c:layout>
        <c:manualLayout>
          <c:layoutTarget val="inner"/>
          <c:xMode val="edge"/>
          <c:yMode val="edge"/>
          <c:x val="7.9871295911331144E-2"/>
          <c:y val="0.12894398920360811"/>
          <c:w val="0.89859883512915117"/>
          <c:h val="0.66424853667215056"/>
        </c:manualLayout>
      </c:layout>
      <c:bar3DChart>
        <c:barDir val="col"/>
        <c:grouping val="clustered"/>
        <c:varyColors val="0"/>
        <c:ser>
          <c:idx val="0"/>
          <c:order val="0"/>
          <c:tx>
            <c:strRef>
              <c:f>'Mức độ xác minh dữ kiện'!$B$23</c:f>
              <c:strCache>
                <c:ptCount val="1"/>
                <c:pt idx="0">
                  <c:v>Core &amp; supporting records</c:v>
                </c:pt>
              </c:strCache>
            </c:strRef>
          </c:tx>
          <c:spPr>
            <a:pattFill prst="ltDnDiag">
              <a:fgClr>
                <a:schemeClr val="accent6"/>
              </a:fgClr>
              <a:bgClr>
                <a:schemeClr val="accent6">
                  <a:lumMod val="20000"/>
                  <a:lumOff val="80000"/>
                </a:schemeClr>
              </a:bgClr>
            </a:pattFill>
            <a:ln>
              <a:solidFill>
                <a:schemeClr val="accent6"/>
              </a:solidFill>
            </a:ln>
          </c:spPr>
          <c:invertIfNegative val="1"/>
          <c:dLbls>
            <c:spPr>
              <a:noFill/>
              <a:ln>
                <a:noFill/>
              </a:ln>
            </c:spPr>
            <c:txPr>
              <a:bodyPr anchorCtr="1"/>
              <a:lstStyle/>
              <a:p>
                <a:pPr>
                  <a:defRPr sz="900" b="0" i="0" u="none">
                    <a:solidFill>
                      <a:schemeClr val="tx1">
                        <a:lumMod val="75000"/>
                        <a:lumOff val="25000"/>
                      </a:schemeClr>
                    </a:solidFill>
                    <a:latin typeface="+mn-lt"/>
                    <a:ea typeface="+mn-lt"/>
                    <a:cs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'Mức độ xác minh dữ kiện'!$A$24:$A$27</c:f>
              <c:strCache>
                <c:ptCount val="4"/>
                <c:pt idx="0">
                  <c:v>Thực hành</c:v>
                </c:pt>
                <c:pt idx="1">
                  <c:v>Đầu ra</c:v>
                </c:pt>
                <c:pt idx="2">
                  <c:v>Tạo ra thay đổi</c:v>
                </c:pt>
                <c:pt idx="3">
                  <c:v>Cam kết</c:v>
                </c:pt>
              </c:strCache>
            </c:strRef>
          </c:cat>
          <c:val>
            <c:numRef>
              <c:f>'Mức độ xác minh dữ kiện'!$B$24:$B$27</c:f>
              <c:numCache>
                <c:formatCode>General</c:formatCode>
                <c:ptCount val="4"/>
                <c:pt idx="0">
                  <c:v>53</c:v>
                </c:pt>
                <c:pt idx="1">
                  <c:v>44</c:v>
                </c:pt>
                <c:pt idx="2">
                  <c:v>10</c:v>
                </c:pt>
                <c:pt idx="3">
                  <c:v>1</c:v>
                </c:pt>
              </c:numCache>
            </c:numRef>
          </c:val>
          <c:extLst>
            <c:ext xmlns:c16="http://schemas.microsoft.com/office/drawing/2014/chart" uri="{C3380CC4-5D6E-409C-BE32-E72D297353CC}">
              <c16:uniqueId val="{00000000-3BE6-4BAF-8083-2B9487E3A599}"/>
            </c:ext>
          </c:extLst>
        </c:ser>
        <c:dLbls>
          <c:showLegendKey val="0"/>
          <c:showVal val="1"/>
          <c:showCatName val="0"/>
          <c:showSerName val="0"/>
          <c:showPercent val="0"/>
          <c:showBubbleSize val="0"/>
        </c:dLbls>
        <c:gapWidth val="150"/>
        <c:shape val="box"/>
        <c:axId val="1127119695"/>
        <c:axId val="1078814303"/>
        <c:axId val="0"/>
      </c:bar3DChart>
      <c:catAx>
        <c:axId val="1127119695"/>
        <c:scaling>
          <c:orientation val="minMax"/>
        </c:scaling>
        <c:delete val="0"/>
        <c:axPos val="b"/>
        <c:title>
          <c:tx>
            <c:rich>
              <a:bodyPr/>
              <a:lstStyle/>
              <a:p>
                <a:r>
                  <a:rPr lang="vi-VN" sz="900" b="1" i="0" u="none">
                    <a:solidFill>
                      <a:schemeClr val="tx1">
                        <a:lumMod val="65000"/>
                        <a:lumOff val="35000"/>
                      </a:schemeClr>
                    </a:solidFill>
                    <a:latin typeface="+mn-lt"/>
                    <a:ea typeface="+mn-lt"/>
                    <a:cs typeface="+mn-lt"/>
                  </a:rPr>
                  <a:t>Mức độ hoạt động được triển khai</a:t>
                </a:r>
              </a:p>
            </c:rich>
          </c:tx>
          <c:layout>
            <c:manualLayout>
              <c:xMode val="edge"/>
              <c:yMode val="edge"/>
              <c:x val="0.30583728646619379"/>
              <c:y val="0.88141496524948981"/>
            </c:manualLayout>
          </c:layout>
          <c:overlay val="1"/>
        </c:title>
        <c:numFmt formatCode="General" sourceLinked="1"/>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1078814303"/>
        <c:crosses val="autoZero"/>
        <c:auto val="1"/>
        <c:lblAlgn val="ctr"/>
        <c:lblOffset val="100"/>
        <c:noMultiLvlLbl val="0"/>
      </c:catAx>
      <c:valAx>
        <c:axId val="1078814303"/>
        <c:scaling>
          <c:orientation val="minMax"/>
        </c:scaling>
        <c:delete val="0"/>
        <c:axPos val="l"/>
        <c:title>
          <c:tx>
            <c:rich>
              <a:bodyPr/>
              <a:lstStyle/>
              <a:p>
                <a:r>
                  <a:rPr lang="en-US" sz="900" b="1" i="0" u="none">
                    <a:solidFill>
                      <a:schemeClr val="tx1">
                        <a:lumMod val="65000"/>
                        <a:lumOff val="35000"/>
                      </a:schemeClr>
                    </a:solidFill>
                    <a:latin typeface="+mn-lt"/>
                    <a:ea typeface="+mn-lt"/>
                    <a:cs typeface="+mn-lt"/>
                  </a:rPr>
                  <a:t>Core &amp; Supporting records</a:t>
                </a:r>
              </a:p>
            </c:rich>
          </c:tx>
          <c:overlay val="1"/>
        </c:title>
        <c:numFmt formatCode="General" sourceLinked="1"/>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1127119695"/>
        <c:crosses val="autoZero"/>
        <c:crossBetween val="between"/>
      </c:valAx>
      <c:spPr>
        <a:noFill/>
        <a:ln>
          <a:noFill/>
        </a:ln>
      </c:spPr>
    </c:plotArea>
    <c:plotVisOnly val="1"/>
    <c:dispBlanksAs val="zero"/>
    <c:showDLblsOverMax val="1"/>
  </c:chart>
  <c:spPr>
    <a:solidFill>
      <a:schemeClr val="bg1"/>
    </a:solidFill>
    <a:ln w="9525" cmpd="sng">
      <a:solidFill>
        <a:schemeClr val="tx1">
          <a:lumMod val="15000"/>
          <a:lumOff val="85000"/>
        </a:schemeClr>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0"/>
      <c:rotY val="0"/>
      <c:rAngAx val="0"/>
    </c:view3D>
    <c:floor>
      <c:thickness val="0"/>
    </c:floor>
    <c:sideWall>
      <c:thickness val="0"/>
    </c:sideWall>
    <c:backWall>
      <c:thickness val="0"/>
    </c:backWall>
    <c:plotArea>
      <c:layout/>
      <c:bar3DChart>
        <c:barDir val="col"/>
        <c:grouping val="clustered"/>
        <c:varyColors val="0"/>
        <c:ser>
          <c:idx val="0"/>
          <c:order val="0"/>
          <c:tx>
            <c:strRef>
              <c:f>'Dimensions coverage'!$B$2</c:f>
              <c:strCache>
                <c:ptCount val="1"/>
                <c:pt idx="0">
                  <c:v>Số khu nghỉ dưỡng có bằng chứng hiện tại</c:v>
                </c:pt>
              </c:strCache>
            </c:strRef>
          </c:tx>
          <c:spPr>
            <a:pattFill prst="ltDnDiag">
              <a:fgClr>
                <a:schemeClr val="accent6"/>
              </a:fgClr>
              <a:bgClr>
                <a:schemeClr val="accent6">
                  <a:lumMod val="20000"/>
                  <a:lumOff val="80000"/>
                </a:schemeClr>
              </a:bgClr>
            </a:pattFill>
            <a:ln>
              <a:solidFill>
                <a:schemeClr val="accent6"/>
              </a:solidFill>
            </a:ln>
          </c:spPr>
          <c:invertIfNegative val="1"/>
          <c:dLbls>
            <c:spPr>
              <a:noFill/>
              <a:ln>
                <a:noFill/>
              </a:ln>
            </c:spPr>
            <c:txPr>
              <a:bodyPr anchorCtr="1"/>
              <a:lstStyle/>
              <a:p>
                <a:pPr>
                  <a:defRPr sz="900" b="0" i="0" u="none">
                    <a:solidFill>
                      <a:schemeClr val="tx1">
                        <a:lumMod val="75000"/>
                        <a:lumOff val="25000"/>
                      </a:schemeClr>
                    </a:solidFill>
                    <a:latin typeface="+mn-lt"/>
                    <a:ea typeface="+mn-lt"/>
                    <a:cs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'Dimensions coverage'!$A$3:$A$10</c:f>
              <c:strCache>
                <c:ptCount val="8"/>
                <c:pt idx="0">
                  <c:v>Năng lượng &amp; Khí hậu</c:v>
                </c:pt>
                <c:pt idx="1">
                  <c:v>Nước</c:v>
                </c:pt>
                <c:pt idx="2">
                  <c:v>Chất thải &amp; Nhựa</c:v>
                </c:pt>
                <c:pt idx="3">
                  <c:v>Thực phẩm &amp; Thu mua</c:v>
                </c:pt>
                <c:pt idx="4">
                  <c:v>Đa dạng sinh học &amp; Hệ sinh thái</c:v>
                </c:pt>
                <c:pt idx="5">
                  <c:v>Cộng đồng &amp; Con người</c:v>
                </c:pt>
                <c:pt idx="6">
                  <c:v>Văn hóa &amp; Di sản</c:v>
                </c:pt>
                <c:pt idx="7">
                  <c:v>Gắn kết khách hàng</c:v>
                </c:pt>
              </c:strCache>
            </c:strRef>
          </c:cat>
          <c:val>
            <c:numRef>
              <c:f>'Dimensions coverage'!$B$3:$B$10</c:f>
              <c:numCache>
                <c:formatCode>General</c:formatCode>
                <c:ptCount val="8"/>
                <c:pt idx="0">
                  <c:v>7</c:v>
                </c:pt>
                <c:pt idx="1">
                  <c:v>7</c:v>
                </c:pt>
                <c:pt idx="2">
                  <c:v>8</c:v>
                </c:pt>
                <c:pt idx="3">
                  <c:v>9</c:v>
                </c:pt>
                <c:pt idx="4">
                  <c:v>8</c:v>
                </c:pt>
                <c:pt idx="5">
                  <c:v>9</c:v>
                </c:pt>
                <c:pt idx="6">
                  <c:v>10</c:v>
                </c:pt>
                <c:pt idx="7">
                  <c:v>9</c:v>
                </c:pt>
              </c:numCache>
            </c:numRef>
          </c:val>
          <c:extLst>
            <c:ext xmlns:c16="http://schemas.microsoft.com/office/drawing/2014/chart" uri="{C3380CC4-5D6E-409C-BE32-E72D297353CC}">
              <c16:uniqueId val="{00000000-9205-4CFF-90B9-84C9DDF27149}"/>
            </c:ext>
          </c:extLst>
        </c:ser>
        <c:ser>
          <c:idx val="1"/>
          <c:order val="1"/>
          <c:tx>
            <c:strRef>
              <c:f>'Dimensions coverage'!$C$2</c:f>
              <c:strCache>
                <c:ptCount val="1"/>
                <c:pt idx="0">
                  <c:v>Có dữ liệu định lượng</c:v>
                </c:pt>
              </c:strCache>
            </c:strRef>
          </c:tx>
          <c:spPr>
            <a:pattFill prst="ltDnDiag">
              <a:fgClr>
                <a:schemeClr val="accent5"/>
              </a:fgClr>
              <a:bgClr>
                <a:schemeClr val="accent5">
                  <a:lumMod val="20000"/>
                  <a:lumOff val="80000"/>
                </a:schemeClr>
              </a:bgClr>
            </a:pattFill>
            <a:ln>
              <a:solidFill>
                <a:schemeClr val="accent5"/>
              </a:solidFill>
            </a:ln>
          </c:spPr>
          <c:invertIfNegative val="1"/>
          <c:dLbls>
            <c:spPr>
              <a:noFill/>
              <a:ln>
                <a:noFill/>
              </a:ln>
            </c:spPr>
            <c:txPr>
              <a:bodyPr anchorCtr="1"/>
              <a:lstStyle/>
              <a:p>
                <a:pPr>
                  <a:defRPr sz="900" b="0" i="0" u="none">
                    <a:solidFill>
                      <a:schemeClr val="tx1">
                        <a:lumMod val="75000"/>
                        <a:lumOff val="25000"/>
                      </a:schemeClr>
                    </a:solidFill>
                    <a:latin typeface="+mn-lt"/>
                    <a:ea typeface="+mn-lt"/>
                    <a:cs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'Dimensions coverage'!$A$3:$A$10</c:f>
              <c:strCache>
                <c:ptCount val="8"/>
                <c:pt idx="0">
                  <c:v>Năng lượng &amp; Khí hậu</c:v>
                </c:pt>
                <c:pt idx="1">
                  <c:v>Nước</c:v>
                </c:pt>
                <c:pt idx="2">
                  <c:v>Chất thải &amp; Nhựa</c:v>
                </c:pt>
                <c:pt idx="3">
                  <c:v>Thực phẩm &amp; Thu mua</c:v>
                </c:pt>
                <c:pt idx="4">
                  <c:v>Đa dạng sinh học &amp; Hệ sinh thái</c:v>
                </c:pt>
                <c:pt idx="5">
                  <c:v>Cộng đồng &amp; Con người</c:v>
                </c:pt>
                <c:pt idx="6">
                  <c:v>Văn hóa &amp; Di sản</c:v>
                </c:pt>
                <c:pt idx="7">
                  <c:v>Gắn kết khách hàng</c:v>
                </c:pt>
              </c:strCache>
            </c:strRef>
          </c:cat>
          <c:val>
            <c:numRef>
              <c:f>'Dimensions coverage'!$C$3:$C$10</c:f>
              <c:numCache>
                <c:formatCode>General</c:formatCode>
                <c:ptCount val="8"/>
                <c:pt idx="0">
                  <c:v>3</c:v>
                </c:pt>
                <c:pt idx="1">
                  <c:v>2</c:v>
                </c:pt>
                <c:pt idx="2">
                  <c:v>4</c:v>
                </c:pt>
                <c:pt idx="3">
                  <c:v>5</c:v>
                </c:pt>
                <c:pt idx="4">
                  <c:v>4</c:v>
                </c:pt>
                <c:pt idx="5">
                  <c:v>7</c:v>
                </c:pt>
                <c:pt idx="6">
                  <c:v>0</c:v>
                </c:pt>
                <c:pt idx="7">
                  <c:v>0</c:v>
                </c:pt>
              </c:numCache>
            </c:numRef>
          </c:val>
          <c:extLst>
            <c:ext xmlns:c16="http://schemas.microsoft.com/office/drawing/2014/chart" uri="{C3380CC4-5D6E-409C-BE32-E72D297353CC}">
              <c16:uniqueId val="{00000001-9205-4CFF-90B9-84C9DDF27149}"/>
            </c:ext>
          </c:extLst>
        </c:ser>
        <c:ser>
          <c:idx val="2"/>
          <c:order val="2"/>
          <c:tx>
            <c:v>Có nguồn bên ngoài</c:v>
          </c:tx>
          <c:spPr>
            <a:pattFill prst="ltDnDiag">
              <a:fgClr>
                <a:schemeClr val="accent4"/>
              </a:fgClr>
              <a:bgClr>
                <a:schemeClr val="accent4">
                  <a:lumMod val="20000"/>
                  <a:lumOff val="80000"/>
                </a:schemeClr>
              </a:bgClr>
            </a:pattFill>
            <a:ln>
              <a:solidFill>
                <a:schemeClr val="accent4"/>
              </a:solidFill>
            </a:ln>
          </c:spPr>
          <c:invertIfNegative val="1"/>
          <c:dLbls>
            <c:spPr>
              <a:noFill/>
              <a:ln>
                <a:noFill/>
              </a:ln>
            </c:spPr>
            <c:txPr>
              <a:bodyPr anchorCtr="1"/>
              <a:lstStyle/>
              <a:p>
                <a:pPr>
                  <a:defRPr sz="900" b="0" i="0" u="none">
                    <a:solidFill>
                      <a:schemeClr val="tx1">
                        <a:lumMod val="75000"/>
                        <a:lumOff val="25000"/>
                      </a:schemeClr>
                    </a:solidFill>
                    <a:latin typeface="+mn-lt"/>
                    <a:ea typeface="+mn-lt"/>
                    <a:cs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mc:AlternateContent xmlns:mc="http://schemas.openxmlformats.org/markup-compatibility/2006">
              <mc:Choice xmlns:c16ac="http://schemas.microsoft.com/office/drawing/2014/chart/ac" Requires="c16ac">
                <c16ac:multiLvlStrLit>
                  <c:ptCount val="0"/>
                </c16ac:multiLvlStrLit>
              </mc:Choice>
              <mc:Fallback>
                <c:strLit/>
              </mc:Fallback>
            </mc:AlternateContent>
          </c:cat>
          <c:val>
            <c:numRef>
              <c:f>'Dimensions coverage'!$D$3:$D$10</c:f>
              <c:numCache>
                <c:formatCode>General</c:formatCode>
                <c:ptCount val="8"/>
                <c:pt idx="0">
                  <c:v>0</c:v>
                </c:pt>
                <c:pt idx="1">
                  <c:v>1</c:v>
                </c:pt>
                <c:pt idx="2">
                  <c:v>0</c:v>
                </c:pt>
                <c:pt idx="3">
                  <c:v>0</c:v>
                </c:pt>
                <c:pt idx="4">
                  <c:v>3</c:v>
                </c:pt>
                <c:pt idx="5">
                  <c:v>1</c:v>
                </c:pt>
                <c:pt idx="6">
                  <c:v>1</c:v>
                </c:pt>
                <c:pt idx="7">
                  <c:v>2</c:v>
                </c:pt>
              </c:numCache>
            </c:numRef>
          </c:val>
          <c:extLst>
            <c:ext xmlns:c16="http://schemas.microsoft.com/office/drawing/2014/chart" uri="{C3380CC4-5D6E-409C-BE32-E72D297353CC}">
              <c16:uniqueId val="{00000002-9205-4CFF-90B9-84C9DDF27149}"/>
            </c:ext>
          </c:extLst>
        </c:ser>
        <c:dLbls>
          <c:showLegendKey val="0"/>
          <c:showVal val="1"/>
          <c:showCatName val="0"/>
          <c:showSerName val="0"/>
          <c:showPercent val="0"/>
          <c:showBubbleSize val="0"/>
        </c:dLbls>
        <c:gapWidth val="150"/>
        <c:shape val="box"/>
        <c:axId val="1034930687"/>
        <c:axId val="981817887"/>
        <c:axId val="0"/>
      </c:bar3DChart>
      <c:catAx>
        <c:axId val="1034930687"/>
        <c:scaling>
          <c:orientation val="minMax"/>
        </c:scaling>
        <c:delete val="0"/>
        <c:axPos val="b"/>
        <c:numFmt formatCode="General" sourceLinked="1"/>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981817887"/>
        <c:crosses val="autoZero"/>
        <c:auto val="1"/>
        <c:lblAlgn val="ctr"/>
        <c:lblOffset val="100"/>
        <c:noMultiLvlLbl val="0"/>
      </c:catAx>
      <c:valAx>
        <c:axId val="981817887"/>
        <c:scaling>
          <c:orientation val="minMax"/>
        </c:scaling>
        <c:delete val="0"/>
        <c:axPos val="l"/>
        <c:majorGridlines>
          <c:spPr>
            <a:ln>
              <a:solidFill>
                <a:schemeClr val="tx1">
                  <a:lumMod val="15000"/>
                  <a:lumOff val="85000"/>
                </a:schemeClr>
              </a:solidFill>
            </a:ln>
          </c:spPr>
        </c:majorGridlines>
        <c:numFmt formatCode="General" sourceLinked="1"/>
        <c:majorTickMark val="none"/>
        <c:minorTickMark val="none"/>
        <c:tickLblPos val="nextTo"/>
        <c:spPr>
          <a:ln>
            <a:no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1034930687"/>
        <c:crosses val="autoZero"/>
        <c:crossBetween val="between"/>
      </c:valAx>
      <c:spPr>
        <a:noFill/>
        <a:ln>
          <a:noFill/>
        </a:ln>
      </c:spPr>
    </c:plotArea>
    <c:legend>
      <c:legendPos val="b"/>
      <c:layout>
        <c:manualLayout>
          <c:xMode val="edge"/>
          <c:yMode val="edge"/>
          <c:x val="7.5871726485342794E-2"/>
          <c:y val="0.87020332089261043"/>
          <c:w val="0.89999985357966605"/>
          <c:h val="8.2319103775215549E-2"/>
        </c:manualLayout>
      </c:layout>
      <c:overlay val="0"/>
      <c:spPr>
        <a:noFill/>
      </c:spPr>
      <c:txPr>
        <a:bodyPr rot="0" vert="horz" anchor="ctr" anchorCtr="1"/>
        <a:lstStyle/>
        <a:p>
          <a:pPr>
            <a:defRPr sz="900" b="0" i="0" u="none">
              <a:solidFill>
                <a:schemeClr val="tx1">
                  <a:lumMod val="65000"/>
                  <a:lumOff val="35000"/>
                </a:schemeClr>
              </a:solidFill>
              <a:latin typeface="+mn-lt"/>
              <a:ea typeface="+mn-lt"/>
              <a:cs typeface="+mn-lt"/>
            </a:defRPr>
          </a:pPr>
          <a:endParaRPr lang="en-US"/>
        </a:p>
      </c:txPr>
    </c:legend>
    <c:plotVisOnly val="1"/>
    <c:dispBlanksAs val="zero"/>
    <c:showDLblsOverMax val="1"/>
  </c:chart>
  <c:spPr>
    <a:solidFill>
      <a:schemeClr val="bg1"/>
    </a:solidFill>
    <a:ln w="9525" cmpd="sng">
      <a:solidFill>
        <a:schemeClr val="tx1">
          <a:lumMod val="15000"/>
          <a:lumOff val="85000"/>
        </a:schemeClr>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r>
              <a:rPr lang="en-US" sz="1600"/>
              <a:t>Mức độ xác minh về dữ kiện</a:t>
            </a:r>
          </a:p>
        </c:rich>
      </c:tx>
      <c:overlay val="0"/>
      <c:spPr>
        <a:noFill/>
        <a:ln>
          <a:noFill/>
        </a:ln>
        <a:effectLst/>
      </c:spPr>
    </c:title>
    <c:autoTitleDeleted val="0"/>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'Resort coverage'!$B$2</c:f>
              <c:strCache>
                <c:ptCount val="1"/>
                <c:pt idx="0">
                  <c:v>Số khía cạnh có bằng chứng hiện tại</c:v>
                </c:pt>
              </c:strCache>
            </c:strRef>
          </c:tx>
          <c:spPr>
            <a:pattFill prst="ltDnDiag">
              <a:fgClr>
                <a:schemeClr val="accent3">
                  <a:shade val="76000"/>
                </a:schemeClr>
              </a:fgClr>
              <a:bgClr>
                <a:schemeClr val="accent3">
                  <a:shade val="76000"/>
                  <a:lumMod val="20000"/>
                  <a:lumOff val="80000"/>
                </a:schemeClr>
              </a:bgClr>
            </a:pattFill>
            <a:ln>
              <a:solidFill>
                <a:schemeClr val="accent3">
                  <a:shade val="76000"/>
                </a:schemeClr>
              </a:solidFill>
            </a:ln>
            <a:effectLst/>
            <a:sp3d>
              <a:contourClr>
                <a:schemeClr val="accent3">
                  <a:shade val="76000"/>
                </a:schemeClr>
              </a:contourClr>
            </a:sp3d>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'Resort coverage'!$A$3:$A$12</c:f>
              <c:strCache>
                <c:ptCount val="10"/>
                <c:pt idx="0">
                  <c:v>Six Senses Ninh Van Bay</c:v>
                </c:pt>
                <c:pt idx="1">
                  <c:v>InterContinental Danang Sun Peninsula Resort</c:v>
                </c:pt>
                <c:pt idx="2">
                  <c:v>Banyan Tree Lang Co</c:v>
                </c:pt>
                <c:pt idx="3">
                  <c:v>Topas Ecolodge</c:v>
                </c:pt>
                <c:pt idx="4">
                  <c:v>The Westin Resort &amp; Spa Cam Ranh</c:v>
                </c:pt>
                <c:pt idx="5">
                  <c:v>Six Senses Con Dao</c:v>
                </c:pt>
                <c:pt idx="6">
                  <c:v>Mango Bay Phu Quoc</c:v>
                </c:pt>
                <c:pt idx="7">
                  <c:v>Avana Retreat</c:v>
                </c:pt>
                <c:pt idx="8">
                  <c:v>Silk Sense Hoi An River Resort</c:v>
                </c:pt>
                <c:pt idx="9">
                  <c:v>Legacy Mekong</c:v>
                </c:pt>
              </c:strCache>
            </c:strRef>
          </c:cat>
          <c:val>
            <c:numRef>
              <c:f>'Resort coverage'!$B$3:$B$12</c:f>
              <c:numCache>
                <c:formatCode>General</c:formatCode>
                <c:ptCount val="10"/>
                <c:pt idx="0">
                  <c:v>8</c:v>
                </c:pt>
                <c:pt idx="1">
                  <c:v>8</c:v>
                </c:pt>
                <c:pt idx="2">
                  <c:v>4</c:v>
                </c:pt>
                <c:pt idx="3">
                  <c:v>7</c:v>
                </c:pt>
                <c:pt idx="4">
                  <c:v>8</c:v>
                </c:pt>
                <c:pt idx="5">
                  <c:v>8</c:v>
                </c:pt>
                <c:pt idx="6">
                  <c:v>6</c:v>
                </c:pt>
                <c:pt idx="7">
                  <c:v>6</c:v>
                </c:pt>
                <c:pt idx="8">
                  <c:v>8</c:v>
                </c:pt>
                <c:pt idx="9">
                  <c:v>4</c:v>
                </c:pt>
              </c:numCache>
            </c:numRef>
          </c:val>
          <c:extLst>
            <c:ext xmlns:c16="http://schemas.microsoft.com/office/drawing/2014/chart" uri="{C3380CC4-5D6E-409C-BE32-E72D297353CC}">
              <c16:uniqueId val="{00000000-F6A1-4C1B-9DF1-314EFC10D45E}"/>
            </c:ext>
          </c:extLst>
        </c:ser>
        <c:ser>
          <c:idx val="1"/>
          <c:order val="1"/>
          <c:tx>
            <c:strRef>
              <c:f>'Resort coverage'!$C$2</c:f>
              <c:strCache>
                <c:ptCount val="1"/>
                <c:pt idx="0">
                  <c:v>Số khía cạnh có dữ liệu định lượng</c:v>
                </c:pt>
              </c:strCache>
            </c:strRef>
          </c:tx>
          <c:spPr>
            <a:pattFill prst="ltDnDiag">
              <a:fgClr>
                <a:schemeClr val="accent3">
                  <a:tint val="77000"/>
                </a:schemeClr>
              </a:fgClr>
              <a:bgClr>
                <a:schemeClr val="accent3">
                  <a:tint val="77000"/>
                  <a:lumMod val="20000"/>
                  <a:lumOff val="80000"/>
                </a:schemeClr>
              </a:bgClr>
            </a:pattFill>
            <a:ln>
              <a:solidFill>
                <a:schemeClr val="accent3">
                  <a:tint val="77000"/>
                </a:schemeClr>
              </a:solidFill>
            </a:ln>
            <a:effectLst/>
            <a:sp3d>
              <a:contourClr>
                <a:schemeClr val="accent3">
                  <a:tint val="77000"/>
                </a:schemeClr>
              </a:contourClr>
            </a:sp3d>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'Resort coverage'!$A$3:$A$12</c:f>
              <c:strCache>
                <c:ptCount val="10"/>
                <c:pt idx="0">
                  <c:v>Six Senses Ninh Van Bay</c:v>
                </c:pt>
                <c:pt idx="1">
                  <c:v>InterContinental Danang Sun Peninsula Resort</c:v>
                </c:pt>
                <c:pt idx="2">
                  <c:v>Banyan Tree Lang Co</c:v>
                </c:pt>
                <c:pt idx="3">
                  <c:v>Topas Ecolodge</c:v>
                </c:pt>
                <c:pt idx="4">
                  <c:v>The Westin Resort &amp; Spa Cam Ranh</c:v>
                </c:pt>
                <c:pt idx="5">
                  <c:v>Six Senses Con Dao</c:v>
                </c:pt>
                <c:pt idx="6">
                  <c:v>Mango Bay Phu Quoc</c:v>
                </c:pt>
                <c:pt idx="7">
                  <c:v>Avana Retreat</c:v>
                </c:pt>
                <c:pt idx="8">
                  <c:v>Silk Sense Hoi An River Resort</c:v>
                </c:pt>
                <c:pt idx="9">
                  <c:v>Legacy Mekong</c:v>
                </c:pt>
              </c:strCache>
            </c:strRef>
          </c:cat>
          <c:val>
            <c:numRef>
              <c:f>'Resort coverage'!$C$3:$C$12</c:f>
              <c:numCache>
                <c:formatCode>General</c:formatCode>
                <c:ptCount val="10"/>
                <c:pt idx="0">
                  <c:v>5</c:v>
                </c:pt>
                <c:pt idx="1">
                  <c:v>1</c:v>
                </c:pt>
                <c:pt idx="2">
                  <c:v>1</c:v>
                </c:pt>
                <c:pt idx="3">
                  <c:v>2</c:v>
                </c:pt>
                <c:pt idx="4">
                  <c:v>4</c:v>
                </c:pt>
                <c:pt idx="5">
                  <c:v>4</c:v>
                </c:pt>
                <c:pt idx="6">
                  <c:v>2</c:v>
                </c:pt>
                <c:pt idx="7">
                  <c:v>1</c:v>
                </c:pt>
                <c:pt idx="8">
                  <c:v>5</c:v>
                </c:pt>
                <c:pt idx="9">
                  <c:v>0</c:v>
                </c:pt>
              </c:numCache>
            </c:numRef>
          </c:val>
          <c:extLst>
            <c:ext xmlns:c16="http://schemas.microsoft.com/office/drawing/2014/chart" uri="{C3380CC4-5D6E-409C-BE32-E72D297353CC}">
              <c16:uniqueId val="{00000001-F6A1-4C1B-9DF1-314EFC10D45E}"/>
            </c:ext>
          </c:extLst>
        </c:ser>
        <c:dLbls>
          <c:showLegendKey val="0"/>
          <c:showVal val="1"/>
          <c:showCatName val="0"/>
          <c:showSerName val="0"/>
          <c:showPercent val="0"/>
          <c:showBubbleSize val="0"/>
        </c:dLbls>
        <c:gapWidth val="75"/>
        <c:shape val="box"/>
        <c:axId val="1798827727"/>
        <c:axId val="1789418239"/>
        <c:axId val="0"/>
      </c:bar3DChart>
      <c:catAx>
        <c:axId val="1798827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en-US"/>
          </a:p>
        </c:txPr>
        <c:crossAx val="1789418239"/>
        <c:crosses val="autoZero"/>
        <c:auto val="1"/>
        <c:lblAlgn val="ctr"/>
        <c:lblOffset val="100"/>
        <c:noMultiLvlLbl val="0"/>
      </c:catAx>
      <c:valAx>
        <c:axId val="1789418239"/>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27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14883</xdr:colOff>
      <xdr:row>28</xdr:row>
      <xdr:rowOff>103584</xdr:rowOff>
    </xdr:from>
    <xdr:to>
      <xdr:col>2</xdr:col>
      <xdr:colOff>361950</xdr:colOff>
      <xdr:row>43</xdr:row>
      <xdr:rowOff>47625</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416719</xdr:colOff>
      <xdr:row>0</xdr:row>
      <xdr:rowOff>0</xdr:rowOff>
    </xdr:from>
    <xdr:to>
      <xdr:col>15</xdr:col>
      <xdr:colOff>386953</xdr:colOff>
      <xdr:row>11</xdr:row>
      <xdr:rowOff>89297</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299786</xdr:colOff>
      <xdr:row>0</xdr:row>
      <xdr:rowOff>315829</xdr:rowOff>
    </xdr:from>
    <xdr:to>
      <xdr:col>17</xdr:col>
      <xdr:colOff>585536</xdr:colOff>
      <xdr:row>9</xdr:row>
      <xdr:rowOff>235117</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46" displayName="Table46" ref="A23:B27" totalsRowShown="0">
  <autoFilter ref="A23:B27" xr:uid="{00000000-0009-0000-0100-000005000000}"/>
  <tableColumns count="2">
    <tableColumn id="1" xr3:uid="{00000000-0010-0000-0000-000001000000}" name="Mức độ tiến triển của hoạt động"/>
    <tableColumn id="2" xr3:uid="{00000000-0010-0000-0000-000002000000}" name="Core &amp; supporting records"/>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SustainabilityDataTable2" displayName="SustainabilityDataTable2" ref="A1:O1048554" totalsRowCount="1">
  <autoFilter ref="A1:O1048553" xr:uid="{00000000-0009-0000-0100-000003000000}"/>
  <tableColumns count="15">
    <tableColumn id="2" xr3:uid="{00000000-0010-0000-0100-000002000000}" name="Resort" dataDxfId="25" totalsRowDxfId="0"/>
    <tableColumn id="3" xr3:uid="{00000000-0010-0000-0100-000003000000}" name="Năm"/>
    <tableColumn id="4" xr3:uid="{00000000-0010-0000-0100-000004000000}" name="Dimension"/>
    <tableColumn id="5" xr3:uid="{00000000-0010-0000-0100-000005000000}" name="Practice / Initiative"/>
    <tableColumn id="6" xr3:uid="{00000000-0010-0000-0100-000006000000}" name="Thông tin / Minh chứng chính"/>
    <tableColumn id="7" xr3:uid="{00000000-0010-0000-0100-000007000000}" name="Keep?" totalsRowFunction="custom">
      <totalsRowFormula>COUNTA(F2:F131)</totalsRowFormula>
    </tableColumn>
    <tableColumn id="8" xr3:uid="{00000000-0010-0000-0100-000008000000}" name="Chỉ số"/>
    <tableColumn id="9" xr3:uid="{00000000-0010-0000-0100-000009000000}" name="Đơn vị"/>
    <tableColumn id="10" xr3:uid="{00000000-0010-0000-0100-00000A000000}" name="Loại minh chứng"/>
    <tableColumn id="12" xr3:uid="{00000000-0010-0000-0100-00000C000000}" name="Guest-facing?"/>
    <tableColumn id="13" xr3:uid="{00000000-0010-0000-0100-00000D000000}" name="Evidence Stage"/>
    <tableColumn id="14" xr3:uid="{00000000-0010-0000-0100-00000E000000}" name="Ghi chú"/>
    <tableColumn id="15" xr3:uid="{00000000-0010-0000-0100-00000F000000}" name="Discussion Tag"/>
    <tableColumn id="16" xr3:uid="{00000000-0010-0000-0100-000010000000}" name="Operational Area(s)"/>
    <tableColumn id="17" xr3:uid="{00000000-0010-0000-0100-000011000000}" name="Mức độ tích hợp"/>
  </tableColumns>
  <tableStyleInfo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ManagementIntegrationTable2" displayName="ManagementIntegrationTable2" ref="A1:N30">
  <autoFilter ref="A1:N30" xr:uid="{00000000-0009-0000-0100-000001000000}"/>
  <tableColumns count="14">
    <tableColumn id="2" xr3:uid="{00000000-0010-0000-0200-000002000000}" name="Khu nghỉ dưỡng" dataDxfId="24"/>
    <tableColumn id="3" xr3:uid="{00000000-0010-0000-0200-000003000000}" name="Phạm vi" dataDxfId="23"/>
    <tableColumn id="4" xr3:uid="{00000000-0010-0000-0200-000004000000}" name="Năm" dataDxfId="22"/>
    <tableColumn id="5" xr3:uid="{00000000-0010-0000-0200-000005000000}" name="Management / Integration Practice" dataDxfId="21"/>
    <tableColumn id="6" xr3:uid="{00000000-0010-0000-0200-000006000000}" name="Thông tin lọc được" dataDxfId="20"/>
    <tableColumn id="7" xr3:uid="{00000000-0010-0000-0200-000007000000}" name="Keep?" dataDxfId="19"/>
    <tableColumn id="8" xr3:uid="{00000000-0010-0000-0200-000008000000}" name="Metric" dataDxfId="18"/>
    <tableColumn id="9" xr3:uid="{00000000-0010-0000-0200-000009000000}" name="Unit" dataDxfId="17"/>
    <tableColumn id="10" xr3:uid="{00000000-0010-0000-0200-00000A000000}" name="Evidence Type" dataDxfId="16"/>
    <tableColumn id="11" xr3:uid="{00000000-0010-0000-0200-00000B000000}" name="Nguồn từ" dataDxfId="15"/>
    <tableColumn id="12" xr3:uid="{00000000-0010-0000-0200-00000C000000}" name="Evidence Stage" dataDxfId="14"/>
    <tableColumn id="13" xr3:uid="{00000000-0010-0000-0200-00000D000000}" name="Mức độ tích hợp" dataDxfId="13"/>
    <tableColumn id="14" xr3:uid="{00000000-0010-0000-0200-00000E000000}" name="Ghi chú" dataDxfId="12"/>
    <tableColumn id="17" xr3:uid="{00000000-0010-0000-0200-000011000000}" name="Source Link" dataDxfId="11"/>
  </tableColumns>
  <tableStyleInfo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ourceLogTable25" displayName="SourceLogTable25" ref="A2:G48">
  <tableColumns count="7">
    <tableColumn id="1" xr3:uid="{00000000-0010-0000-0300-000001000000}" name="Source / label"/>
    <tableColumn id="2" xr3:uid="{00000000-0010-0000-0300-000002000000}" name="Resort(s)"/>
    <tableColumn id="3" xr3:uid="{00000000-0010-0000-0300-000003000000}" name="Dimension / scope"/>
    <tableColumn id="4" xr3:uid="{00000000-0010-0000-0300-000004000000}" name="Evidence type(s)"/>
    <tableColumn id="5" xr3:uid="{00000000-0010-0000-0300-000005000000}" name="Số record dùng"/>
    <tableColumn id="6" xr3:uid="{00000000-0010-0000-0300-000006000000}" name="Source category"/>
    <tableColumn id="7" xr3:uid="{00000000-0010-0000-0300-000007000000}" name="URL"/>
  </tableColumns>
  <tableStyleInfo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ixsenses.com/en/hotels-resorts/asia-the-pacific/vietnam/ninh-van-bay/sustainability/" TargetMode="External"/><Relationship Id="rId2" Type="http://schemas.openxmlformats.org/officeDocument/2006/relationships/hyperlink" Target="https://tourismcantho.vn/resort-azerai-can-tho/" TargetMode="External"/><Relationship Id="rId1" Type="http://schemas.openxmlformats.org/officeDocument/2006/relationships/hyperlink" Target="https://www.marriott.com/en-us/hotels/vcalm-legacy-mekong-can-tho-autograph-collection/dining/" TargetMode="External"/><Relationship Id="rId4"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hyperlink" Target="https://serve360.marriott.com/" TargetMode="External"/><Relationship Id="rId1" Type="http://schemas.openxmlformats.org/officeDocument/2006/relationships/hyperlink" Target="https://serve360.marriott.com/"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
  <sheetViews>
    <sheetView workbookViewId="0">
      <selection activeCell="B7" sqref="B7"/>
    </sheetView>
  </sheetViews>
  <sheetFormatPr defaultRowHeight="14.25"/>
  <cols>
    <col min="1" max="1" width="13" customWidth="1"/>
    <col min="2" max="2" width="16.125" customWidth="1"/>
    <col min="3" max="3" width="17.75" customWidth="1"/>
    <col min="4" max="5" width="16.625" customWidth="1"/>
    <col min="6" max="6" width="16.125" customWidth="1"/>
    <col min="7" max="7" width="16.75" customWidth="1"/>
    <col min="8" max="8" width="13.125" customWidth="1"/>
    <col min="9" max="9" width="14.625" customWidth="1"/>
    <col min="10" max="10" width="12.25" customWidth="1"/>
    <col min="11" max="11" width="9" style="61"/>
    <col min="12" max="12" width="9" style="61" hidden="1" customWidth="1"/>
    <col min="13" max="13" width="5.25" style="61" hidden="1" customWidth="1"/>
    <col min="14" max="14" width="6.125" style="61" customWidth="1"/>
  </cols>
  <sheetData>
    <row r="1" spans="1:14" ht="28.5" customHeight="1">
      <c r="A1" s="82" t="s">
        <v>0</v>
      </c>
      <c r="B1" s="82"/>
      <c r="C1" s="82"/>
      <c r="D1" s="82"/>
      <c r="E1" s="82"/>
      <c r="F1" s="82"/>
      <c r="G1" s="82"/>
      <c r="H1" s="82"/>
      <c r="I1" s="82"/>
      <c r="J1" s="82"/>
      <c r="K1" s="82"/>
      <c r="L1" s="82"/>
      <c r="M1" s="82"/>
      <c r="N1" s="82"/>
    </row>
    <row r="2" spans="1:14" ht="36.75" customHeight="1">
      <c r="A2" s="42" t="s">
        <v>1</v>
      </c>
      <c r="B2" s="59" t="s">
        <v>2</v>
      </c>
      <c r="C2" s="42" t="s">
        <v>3</v>
      </c>
      <c r="D2" s="42" t="s">
        <v>4</v>
      </c>
      <c r="E2" s="42" t="s">
        <v>5</v>
      </c>
      <c r="F2" s="42" t="s">
        <v>6</v>
      </c>
      <c r="G2" s="42" t="s">
        <v>7</v>
      </c>
      <c r="H2" s="42" t="s">
        <v>8</v>
      </c>
      <c r="I2" s="42" t="s">
        <v>9</v>
      </c>
      <c r="J2" s="42" t="s">
        <v>10</v>
      </c>
      <c r="K2" s="83" t="s">
        <v>11</v>
      </c>
      <c r="L2" s="83"/>
      <c r="M2" s="83"/>
      <c r="N2" s="83"/>
    </row>
    <row r="3" spans="1:14" ht="72">
      <c r="A3" s="36" t="s">
        <v>12</v>
      </c>
      <c r="B3" s="60" t="s">
        <v>13</v>
      </c>
      <c r="C3" s="37" t="s">
        <v>14</v>
      </c>
      <c r="D3" s="37" t="s">
        <v>15</v>
      </c>
      <c r="E3" s="37" t="s">
        <v>16</v>
      </c>
      <c r="F3" s="37" t="s">
        <v>17</v>
      </c>
      <c r="G3" s="37" t="s">
        <v>18</v>
      </c>
      <c r="H3" s="37" t="s">
        <v>19</v>
      </c>
      <c r="I3" s="37" t="s">
        <v>20</v>
      </c>
      <c r="J3" s="37" t="s">
        <v>21</v>
      </c>
      <c r="K3" s="81" t="s">
        <v>22</v>
      </c>
      <c r="L3" s="81"/>
      <c r="M3" s="81"/>
      <c r="N3" s="81"/>
    </row>
    <row r="4" spans="1:14" ht="84">
      <c r="A4" s="38" t="s">
        <v>23</v>
      </c>
      <c r="B4" s="73" t="s">
        <v>24</v>
      </c>
      <c r="C4" s="39" t="s">
        <v>25</v>
      </c>
      <c r="D4" s="39" t="s">
        <v>26</v>
      </c>
      <c r="E4" s="39" t="s">
        <v>27</v>
      </c>
      <c r="F4" s="39" t="s">
        <v>28</v>
      </c>
      <c r="G4" s="39" t="s">
        <v>29</v>
      </c>
      <c r="H4" s="39" t="s">
        <v>30</v>
      </c>
      <c r="I4" s="39" t="s">
        <v>31</v>
      </c>
      <c r="J4" s="39" t="s">
        <v>32</v>
      </c>
      <c r="K4" s="80" t="s">
        <v>33</v>
      </c>
      <c r="L4" s="80"/>
      <c r="M4" s="80"/>
      <c r="N4" s="80"/>
    </row>
    <row r="5" spans="1:14" ht="96">
      <c r="A5" s="36" t="s">
        <v>34</v>
      </c>
      <c r="B5" s="60" t="s">
        <v>35</v>
      </c>
      <c r="C5" s="37" t="s">
        <v>36</v>
      </c>
      <c r="D5" s="37" t="s">
        <v>37</v>
      </c>
      <c r="E5" s="37" t="s">
        <v>38</v>
      </c>
      <c r="F5" s="37" t="s">
        <v>39</v>
      </c>
      <c r="G5" s="37" t="s">
        <v>40</v>
      </c>
      <c r="H5" s="37" t="s">
        <v>41</v>
      </c>
      <c r="I5" s="37" t="s">
        <v>42</v>
      </c>
      <c r="J5" s="37" t="s">
        <v>43</v>
      </c>
      <c r="K5" s="81" t="s">
        <v>44</v>
      </c>
      <c r="L5" s="81"/>
      <c r="M5" s="81"/>
      <c r="N5" s="81"/>
    </row>
    <row r="6" spans="1:14" ht="72">
      <c r="A6" s="38" t="s">
        <v>45</v>
      </c>
      <c r="B6" s="73" t="s">
        <v>46</v>
      </c>
      <c r="C6" s="39" t="s">
        <v>47</v>
      </c>
      <c r="D6" s="39" t="s">
        <v>48</v>
      </c>
      <c r="E6" s="39" t="s">
        <v>49</v>
      </c>
      <c r="F6" s="39" t="s">
        <v>50</v>
      </c>
      <c r="G6" s="39" t="s">
        <v>51</v>
      </c>
      <c r="H6" s="39" t="s">
        <v>52</v>
      </c>
      <c r="I6" s="39" t="s">
        <v>53</v>
      </c>
      <c r="J6" s="39" t="s">
        <v>54</v>
      </c>
      <c r="K6" s="80" t="s">
        <v>55</v>
      </c>
      <c r="L6" s="80"/>
      <c r="M6" s="80"/>
      <c r="N6" s="80"/>
    </row>
    <row r="7" spans="1:14" ht="84">
      <c r="A7" s="36" t="s">
        <v>56</v>
      </c>
      <c r="B7" s="74" t="s">
        <v>57</v>
      </c>
      <c r="C7" s="37" t="s">
        <v>58</v>
      </c>
      <c r="D7" s="37" t="s">
        <v>59</v>
      </c>
      <c r="E7" s="37" t="s">
        <v>60</v>
      </c>
      <c r="F7" s="37" t="s">
        <v>61</v>
      </c>
      <c r="G7" s="37" t="s">
        <v>62</v>
      </c>
      <c r="H7" s="37" t="s">
        <v>63</v>
      </c>
      <c r="I7" s="37" t="s">
        <v>64</v>
      </c>
      <c r="J7" s="37" t="s">
        <v>65</v>
      </c>
      <c r="K7" s="81" t="s">
        <v>66</v>
      </c>
      <c r="L7" s="81"/>
      <c r="M7" s="81"/>
      <c r="N7" s="81"/>
    </row>
    <row r="8" spans="1:14" ht="72">
      <c r="A8" s="38" t="s">
        <v>67</v>
      </c>
      <c r="B8" s="73" t="s">
        <v>68</v>
      </c>
      <c r="C8" s="72" t="s">
        <v>69</v>
      </c>
      <c r="D8" s="39" t="s">
        <v>70</v>
      </c>
      <c r="E8" s="39" t="s">
        <v>71</v>
      </c>
      <c r="F8" s="39" t="s">
        <v>72</v>
      </c>
      <c r="G8" s="39" t="s">
        <v>73</v>
      </c>
      <c r="H8" s="39" t="s">
        <v>74</v>
      </c>
      <c r="I8" s="39" t="s">
        <v>75</v>
      </c>
      <c r="J8" s="39" t="s">
        <v>76</v>
      </c>
      <c r="K8" s="80" t="s">
        <v>77</v>
      </c>
      <c r="L8" s="80"/>
      <c r="M8" s="80"/>
      <c r="N8" s="80"/>
    </row>
    <row r="9" spans="1:14" s="77" customFormat="1" ht="84">
      <c r="A9" s="75" t="s">
        <v>78</v>
      </c>
      <c r="B9" s="74" t="s">
        <v>79</v>
      </c>
      <c r="C9" s="76" t="s">
        <v>80</v>
      </c>
      <c r="D9" s="76" t="s">
        <v>81</v>
      </c>
      <c r="E9" s="76" t="s">
        <v>82</v>
      </c>
      <c r="F9" s="76" t="s">
        <v>83</v>
      </c>
      <c r="G9" s="76" t="s">
        <v>84</v>
      </c>
      <c r="H9" s="76" t="s">
        <v>85</v>
      </c>
      <c r="I9" s="76" t="s">
        <v>86</v>
      </c>
      <c r="J9" s="76" t="s">
        <v>87</v>
      </c>
      <c r="K9" s="79" t="s">
        <v>88</v>
      </c>
      <c r="L9" s="79"/>
      <c r="M9" s="79"/>
      <c r="N9" s="79"/>
    </row>
    <row r="10" spans="1:14" ht="72">
      <c r="A10" s="38" t="s">
        <v>89</v>
      </c>
      <c r="B10" s="73" t="s">
        <v>90</v>
      </c>
      <c r="C10" s="39" t="s">
        <v>91</v>
      </c>
      <c r="D10" s="39" t="s">
        <v>92</v>
      </c>
      <c r="E10" s="39" t="s">
        <v>93</v>
      </c>
      <c r="F10" s="39" t="s">
        <v>94</v>
      </c>
      <c r="G10" s="39" t="s">
        <v>95</v>
      </c>
      <c r="H10" s="39" t="s">
        <v>96</v>
      </c>
      <c r="I10" s="39" t="s">
        <v>97</v>
      </c>
      <c r="J10" s="39" t="s">
        <v>98</v>
      </c>
      <c r="K10" s="80" t="s">
        <v>99</v>
      </c>
      <c r="L10" s="80"/>
      <c r="M10" s="80"/>
      <c r="N10" s="80"/>
    </row>
    <row r="11" spans="1:14" ht="72">
      <c r="A11" s="36" t="s">
        <v>100</v>
      </c>
      <c r="B11" s="60" t="s">
        <v>101</v>
      </c>
      <c r="C11" s="37" t="s">
        <v>102</v>
      </c>
      <c r="D11" s="37" t="s">
        <v>103</v>
      </c>
      <c r="E11" s="37" t="s">
        <v>104</v>
      </c>
      <c r="F11" s="37" t="s">
        <v>105</v>
      </c>
      <c r="G11" s="37" t="s">
        <v>106</v>
      </c>
      <c r="H11" s="37" t="s">
        <v>107</v>
      </c>
      <c r="I11" s="37" t="s">
        <v>108</v>
      </c>
      <c r="J11" s="37" t="s">
        <v>109</v>
      </c>
      <c r="K11" s="81" t="s">
        <v>110</v>
      </c>
      <c r="L11" s="81"/>
      <c r="M11" s="81"/>
      <c r="N11" s="81"/>
    </row>
    <row r="12" spans="1:14" ht="84">
      <c r="A12" s="38" t="s">
        <v>111</v>
      </c>
      <c r="B12" s="73" t="s">
        <v>112</v>
      </c>
      <c r="C12" s="39" t="s">
        <v>113</v>
      </c>
      <c r="D12" s="39" t="s">
        <v>114</v>
      </c>
      <c r="E12" s="39" t="s">
        <v>114</v>
      </c>
      <c r="F12" s="39" t="s">
        <v>115</v>
      </c>
      <c r="G12" s="39" t="s">
        <v>116</v>
      </c>
      <c r="H12" s="39" t="s">
        <v>117</v>
      </c>
      <c r="I12" s="39" t="s">
        <v>118</v>
      </c>
      <c r="J12" s="39" t="s">
        <v>119</v>
      </c>
      <c r="K12" s="80" t="s">
        <v>120</v>
      </c>
      <c r="L12" s="80"/>
      <c r="M12" s="80"/>
      <c r="N12" s="80"/>
    </row>
  </sheetData>
  <mergeCells count="12">
    <mergeCell ref="K9:N9"/>
    <mergeCell ref="K10:N10"/>
    <mergeCell ref="K11:N11"/>
    <mergeCell ref="K12:N12"/>
    <mergeCell ref="A1:N1"/>
    <mergeCell ref="K2:N2"/>
    <mergeCell ref="K3:N3"/>
    <mergeCell ref="K4:N4"/>
    <mergeCell ref="K5:N5"/>
    <mergeCell ref="K6:N6"/>
    <mergeCell ref="K7:N7"/>
    <mergeCell ref="K8:N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
  <sheetViews>
    <sheetView workbookViewId="0">
      <selection sqref="A1:C1"/>
    </sheetView>
  </sheetViews>
  <sheetFormatPr defaultRowHeight="14.25"/>
  <cols>
    <col min="1" max="1" width="19.5" customWidth="1"/>
    <col min="2" max="2" width="24.125" customWidth="1"/>
    <col min="3" max="3" width="41" customWidth="1"/>
  </cols>
  <sheetData>
    <row r="1" spans="1:9" ht="27.95" customHeight="1">
      <c r="A1" s="84" t="s">
        <v>121</v>
      </c>
      <c r="B1" s="84"/>
      <c r="C1" s="84"/>
      <c r="D1" s="35"/>
      <c r="E1" s="35"/>
      <c r="F1" s="35"/>
      <c r="G1" s="35"/>
      <c r="H1" s="35"/>
      <c r="I1" s="35"/>
    </row>
    <row r="2" spans="1:9" ht="24" customHeight="1">
      <c r="A2" s="34" t="s">
        <v>1</v>
      </c>
      <c r="B2" s="34" t="s">
        <v>122</v>
      </c>
      <c r="C2" s="34" t="s">
        <v>123</v>
      </c>
    </row>
    <row r="3" spans="1:9" ht="54">
      <c r="A3" s="30" t="s">
        <v>12</v>
      </c>
      <c r="B3" s="40" t="s">
        <v>124</v>
      </c>
      <c r="C3" s="40" t="s">
        <v>125</v>
      </c>
    </row>
    <row r="4" spans="1:9" ht="54">
      <c r="A4" s="32" t="s">
        <v>23</v>
      </c>
      <c r="B4" s="41" t="s">
        <v>126</v>
      </c>
      <c r="C4" s="41" t="s">
        <v>127</v>
      </c>
    </row>
    <row r="5" spans="1:9" ht="40.5">
      <c r="A5" s="30" t="s">
        <v>34</v>
      </c>
      <c r="B5" s="40" t="s">
        <v>128</v>
      </c>
      <c r="C5" s="31" t="s">
        <v>129</v>
      </c>
    </row>
    <row r="6" spans="1:9" ht="40.5">
      <c r="A6" s="32" t="s">
        <v>45</v>
      </c>
      <c r="B6" s="41" t="s">
        <v>130</v>
      </c>
      <c r="C6" s="33" t="s">
        <v>131</v>
      </c>
    </row>
    <row r="7" spans="1:9" ht="54">
      <c r="A7" s="30" t="s">
        <v>56</v>
      </c>
      <c r="B7" s="40" t="s">
        <v>132</v>
      </c>
      <c r="C7" s="40" t="s">
        <v>133</v>
      </c>
    </row>
    <row r="8" spans="1:9" ht="54">
      <c r="A8" s="32" t="s">
        <v>67</v>
      </c>
      <c r="B8" s="41" t="s">
        <v>134</v>
      </c>
      <c r="C8" s="41" t="s">
        <v>135</v>
      </c>
    </row>
    <row r="9" spans="1:9" ht="40.5">
      <c r="A9" s="30" t="s">
        <v>78</v>
      </c>
      <c r="B9" s="40" t="s">
        <v>136</v>
      </c>
      <c r="C9" s="40" t="s">
        <v>137</v>
      </c>
    </row>
    <row r="10" spans="1:9" ht="54">
      <c r="A10" s="32" t="s">
        <v>89</v>
      </c>
      <c r="B10" s="41" t="s">
        <v>138</v>
      </c>
      <c r="C10" s="41" t="s">
        <v>139</v>
      </c>
    </row>
    <row r="11" spans="1:9" ht="40.5">
      <c r="A11" s="30" t="s">
        <v>100</v>
      </c>
      <c r="B11" s="40" t="s">
        <v>140</v>
      </c>
      <c r="C11" s="31" t="s">
        <v>141</v>
      </c>
    </row>
    <row r="12" spans="1:9" ht="40.5">
      <c r="A12" s="32" t="s">
        <v>111</v>
      </c>
      <c r="B12" s="41" t="s">
        <v>142</v>
      </c>
      <c r="C12" s="33" t="s">
        <v>143</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7"/>
  <sheetViews>
    <sheetView workbookViewId="0">
      <selection activeCell="D32" sqref="D32"/>
    </sheetView>
  </sheetViews>
  <sheetFormatPr defaultRowHeight="14.25"/>
  <cols>
    <col min="1" max="1" width="31" customWidth="1"/>
    <col min="2" max="2" width="26.375" customWidth="1"/>
    <col min="3" max="3" width="22" customWidth="1"/>
    <col min="4" max="4" width="36.375" customWidth="1"/>
    <col min="5" max="6" width="22" customWidth="1"/>
    <col min="7" max="7" width="15.125" customWidth="1"/>
    <col min="8" max="8" width="16.5" customWidth="1"/>
    <col min="9" max="9" width="20.25" customWidth="1"/>
    <col min="10" max="10" width="17.625" customWidth="1"/>
    <col min="11" max="11" width="14.75" customWidth="1"/>
    <col min="12" max="12" width="14.625" customWidth="1"/>
    <col min="13" max="13" width="60.375" style="71" customWidth="1"/>
    <col min="14" max="14" width="9" customWidth="1"/>
  </cols>
  <sheetData>
    <row r="1" spans="1:13" ht="45.75" customHeight="1">
      <c r="A1" s="78" t="s">
        <v>144</v>
      </c>
      <c r="B1" s="78"/>
      <c r="C1" s="78"/>
      <c r="D1" s="78"/>
      <c r="E1" s="78"/>
      <c r="F1" s="78"/>
      <c r="G1" s="78"/>
      <c r="H1" s="78"/>
      <c r="I1" s="78"/>
      <c r="J1" s="78"/>
      <c r="K1" s="78"/>
      <c r="L1" s="78"/>
      <c r="M1" s="78"/>
    </row>
    <row r="2" spans="1:13" s="71" customFormat="1" ht="42.75" customHeight="1">
      <c r="A2" s="46" t="s">
        <v>145</v>
      </c>
      <c r="B2" s="46" t="s">
        <v>146</v>
      </c>
      <c r="C2" s="66" t="s">
        <v>147</v>
      </c>
      <c r="D2" s="15" t="s">
        <v>1</v>
      </c>
      <c r="E2" s="15" t="s">
        <v>3</v>
      </c>
      <c r="F2" s="15" t="s">
        <v>4</v>
      </c>
      <c r="G2" s="15" t="s">
        <v>5</v>
      </c>
      <c r="H2" s="15" t="s">
        <v>6</v>
      </c>
      <c r="I2" s="15" t="s">
        <v>7</v>
      </c>
      <c r="J2" s="15" t="s">
        <v>8</v>
      </c>
      <c r="K2" s="15" t="s">
        <v>9</v>
      </c>
      <c r="L2" s="15" t="s">
        <v>10</v>
      </c>
      <c r="M2" s="15" t="s">
        <v>148</v>
      </c>
    </row>
    <row r="3" spans="1:13" ht="43.5">
      <c r="A3" s="9" t="s">
        <v>149</v>
      </c>
      <c r="B3" s="8" t="s">
        <v>150</v>
      </c>
      <c r="C3" s="67" t="s">
        <v>151</v>
      </c>
      <c r="D3" s="47" t="s">
        <v>12</v>
      </c>
      <c r="E3" s="16" t="s">
        <v>152</v>
      </c>
      <c r="F3" s="16" t="s">
        <v>153</v>
      </c>
      <c r="G3" s="16" t="s">
        <v>152</v>
      </c>
      <c r="H3" s="16" t="s">
        <v>152</v>
      </c>
      <c r="I3" s="16" t="s">
        <v>149</v>
      </c>
      <c r="J3" s="16" t="s">
        <v>149</v>
      </c>
      <c r="K3" s="16" t="s">
        <v>153</v>
      </c>
      <c r="L3" s="16" t="s">
        <v>154</v>
      </c>
      <c r="M3" s="71" t="s">
        <v>155</v>
      </c>
    </row>
    <row r="4" spans="1:13" ht="72">
      <c r="A4" s="10" t="s">
        <v>154</v>
      </c>
      <c r="B4" s="8" t="s">
        <v>156</v>
      </c>
      <c r="C4" s="67" t="s">
        <v>157</v>
      </c>
      <c r="D4" s="47" t="s">
        <v>23</v>
      </c>
      <c r="E4" s="16" t="s">
        <v>153</v>
      </c>
      <c r="F4" s="16" t="s">
        <v>154</v>
      </c>
      <c r="G4" s="16" t="s">
        <v>153</v>
      </c>
      <c r="H4" s="16" t="s">
        <v>153</v>
      </c>
      <c r="I4" s="16" t="s">
        <v>152</v>
      </c>
      <c r="J4" s="16" t="s">
        <v>153</v>
      </c>
      <c r="K4" s="16" t="s">
        <v>153</v>
      </c>
      <c r="L4" s="16" t="s">
        <v>154</v>
      </c>
      <c r="M4" s="71" t="s">
        <v>158</v>
      </c>
    </row>
    <row r="5" spans="1:13" ht="42.75">
      <c r="A5" s="11" t="s">
        <v>152</v>
      </c>
      <c r="B5" s="8" t="s">
        <v>159</v>
      </c>
      <c r="C5" s="67" t="s">
        <v>160</v>
      </c>
      <c r="D5" s="47" t="s">
        <v>34</v>
      </c>
      <c r="E5" s="16" t="s">
        <v>161</v>
      </c>
      <c r="F5" s="16" t="s">
        <v>162</v>
      </c>
      <c r="G5" s="16" t="s">
        <v>162</v>
      </c>
      <c r="H5" s="16" t="s">
        <v>161</v>
      </c>
      <c r="I5" s="16" t="s">
        <v>152</v>
      </c>
      <c r="J5" s="16" t="s">
        <v>153</v>
      </c>
      <c r="K5" s="16" t="s">
        <v>153</v>
      </c>
      <c r="L5" s="16" t="s">
        <v>153</v>
      </c>
      <c r="M5" s="71" t="s">
        <v>163</v>
      </c>
    </row>
    <row r="6" spans="1:13" ht="43.5">
      <c r="A6" s="12" t="s">
        <v>153</v>
      </c>
      <c r="B6" s="8" t="s">
        <v>164</v>
      </c>
      <c r="C6" s="67" t="s">
        <v>165</v>
      </c>
      <c r="D6" s="47" t="s">
        <v>45</v>
      </c>
      <c r="E6" s="16" t="s">
        <v>153</v>
      </c>
      <c r="F6" s="16" t="s">
        <v>153</v>
      </c>
      <c r="G6" s="16" t="s">
        <v>153</v>
      </c>
      <c r="H6" s="16" t="s">
        <v>152</v>
      </c>
      <c r="I6" s="16" t="s">
        <v>161</v>
      </c>
      <c r="J6" s="16" t="s">
        <v>152</v>
      </c>
      <c r="K6" s="16" t="s">
        <v>153</v>
      </c>
      <c r="L6" s="16" t="s">
        <v>153</v>
      </c>
      <c r="M6" s="71" t="s">
        <v>166</v>
      </c>
    </row>
    <row r="7" spans="1:13" ht="57.75">
      <c r="A7" s="13" t="s">
        <v>161</v>
      </c>
      <c r="B7" s="8" t="s">
        <v>167</v>
      </c>
      <c r="C7" s="67" t="s">
        <v>168</v>
      </c>
      <c r="D7" s="47" t="s">
        <v>56</v>
      </c>
      <c r="E7" s="16" t="s">
        <v>152</v>
      </c>
      <c r="F7" s="16" t="s">
        <v>152</v>
      </c>
      <c r="G7" s="16" t="s">
        <v>152</v>
      </c>
      <c r="H7" s="16" t="s">
        <v>153</v>
      </c>
      <c r="I7" s="16" t="s">
        <v>153</v>
      </c>
      <c r="J7" s="16" t="s">
        <v>152</v>
      </c>
      <c r="K7" s="16" t="s">
        <v>153</v>
      </c>
      <c r="L7" s="16" t="s">
        <v>153</v>
      </c>
      <c r="M7" s="71" t="s">
        <v>169</v>
      </c>
    </row>
    <row r="8" spans="1:13" ht="57.75">
      <c r="A8" s="14" t="s">
        <v>162</v>
      </c>
      <c r="B8" s="8" t="s">
        <v>170</v>
      </c>
      <c r="C8" s="67" t="s">
        <v>171</v>
      </c>
      <c r="D8" s="47" t="s">
        <v>67</v>
      </c>
      <c r="E8" s="16" t="s">
        <v>153</v>
      </c>
      <c r="F8" s="16" t="s">
        <v>153</v>
      </c>
      <c r="G8" s="16" t="s">
        <v>152</v>
      </c>
      <c r="H8" s="16" t="s">
        <v>152</v>
      </c>
      <c r="I8" s="16" t="s">
        <v>152</v>
      </c>
      <c r="J8" s="16" t="s">
        <v>152</v>
      </c>
      <c r="K8" s="16" t="s">
        <v>153</v>
      </c>
      <c r="L8" s="16" t="s">
        <v>153</v>
      </c>
      <c r="M8" s="71" t="s">
        <v>172</v>
      </c>
    </row>
    <row r="9" spans="1:13" ht="57.75">
      <c r="A9" s="68" t="s">
        <v>173</v>
      </c>
      <c r="B9" s="69" t="s">
        <v>174</v>
      </c>
      <c r="C9" s="70" t="s">
        <v>175</v>
      </c>
      <c r="D9" s="47" t="s">
        <v>78</v>
      </c>
      <c r="E9" s="16" t="s">
        <v>153</v>
      </c>
      <c r="F9" s="16" t="s">
        <v>153</v>
      </c>
      <c r="G9" s="16" t="s">
        <v>153</v>
      </c>
      <c r="H9" s="16" t="s">
        <v>152</v>
      </c>
      <c r="I9" s="16" t="s">
        <v>173</v>
      </c>
      <c r="J9" s="16" t="s">
        <v>152</v>
      </c>
      <c r="K9" s="16" t="s">
        <v>153</v>
      </c>
      <c r="L9" s="16" t="s">
        <v>161</v>
      </c>
      <c r="M9" s="71" t="s">
        <v>176</v>
      </c>
    </row>
    <row r="10" spans="1:13" ht="42.75">
      <c r="D10" s="47" t="s">
        <v>89</v>
      </c>
      <c r="E10" s="16" t="s">
        <v>161</v>
      </c>
      <c r="F10" s="16" t="s">
        <v>161</v>
      </c>
      <c r="G10" s="16" t="s">
        <v>153</v>
      </c>
      <c r="H10" s="16" t="s">
        <v>153</v>
      </c>
      <c r="I10" s="16" t="s">
        <v>154</v>
      </c>
      <c r="J10" s="16" t="s">
        <v>152</v>
      </c>
      <c r="K10" s="16" t="s">
        <v>153</v>
      </c>
      <c r="L10" s="16" t="s">
        <v>153</v>
      </c>
      <c r="M10" s="71" t="s">
        <v>177</v>
      </c>
    </row>
    <row r="11" spans="1:13" ht="38.1" customHeight="1">
      <c r="D11" s="47" t="s">
        <v>100</v>
      </c>
      <c r="E11" s="16" t="s">
        <v>152</v>
      </c>
      <c r="F11" s="16" t="s">
        <v>152</v>
      </c>
      <c r="G11" s="16" t="s">
        <v>152</v>
      </c>
      <c r="H11" s="16" t="s">
        <v>152</v>
      </c>
      <c r="I11" s="16" t="s">
        <v>153</v>
      </c>
      <c r="J11" s="16" t="s">
        <v>152</v>
      </c>
      <c r="K11" s="16" t="s">
        <v>153</v>
      </c>
      <c r="L11" s="16" t="s">
        <v>153</v>
      </c>
      <c r="M11" s="71" t="s">
        <v>178</v>
      </c>
    </row>
    <row r="12" spans="1:13" ht="71.25">
      <c r="D12" s="47" t="s">
        <v>111</v>
      </c>
      <c r="E12" s="16" t="s">
        <v>173</v>
      </c>
      <c r="F12" s="16" t="s">
        <v>161</v>
      </c>
      <c r="G12" s="16" t="s">
        <v>161</v>
      </c>
      <c r="H12" s="16" t="s">
        <v>153</v>
      </c>
      <c r="I12" s="16" t="s">
        <v>154</v>
      </c>
      <c r="J12" s="16" t="s">
        <v>161</v>
      </c>
      <c r="K12" s="16" t="s">
        <v>154</v>
      </c>
      <c r="L12" s="16" t="s">
        <v>153</v>
      </c>
      <c r="M12" s="71" t="s">
        <v>179</v>
      </c>
    </row>
    <row r="20" spans="1:2" ht="75" customHeight="1"/>
    <row r="23" spans="1:2">
      <c r="A23" t="s">
        <v>180</v>
      </c>
      <c r="B23" t="s">
        <v>181</v>
      </c>
    </row>
    <row r="24" spans="1:2">
      <c r="A24" t="s">
        <v>182</v>
      </c>
      <c r="B24">
        <v>53</v>
      </c>
    </row>
    <row r="25" spans="1:2">
      <c r="A25" t="s">
        <v>183</v>
      </c>
      <c r="B25">
        <v>44</v>
      </c>
    </row>
    <row r="26" spans="1:2">
      <c r="A26" t="s">
        <v>184</v>
      </c>
      <c r="B26">
        <v>10</v>
      </c>
    </row>
    <row r="27" spans="1:2">
      <c r="A27" t="s">
        <v>185</v>
      </c>
      <c r="B27">
        <v>1</v>
      </c>
    </row>
  </sheetData>
  <mergeCells count="1">
    <mergeCell ref="A1:M1"/>
  </mergeCells>
  <conditionalFormatting sqref="E3:L12">
    <cfRule type="expression" dxfId="10" priority="1">
      <formula>E3="NB+ĐL"</formula>
    </cfRule>
    <cfRule type="expression" dxfId="9" priority="2">
      <formula>E3="NB"</formula>
    </cfRule>
    <cfRule type="expression" dxfId="8" priority="3">
      <formula>E3="ĐL"</formula>
    </cfRule>
    <cfRule type="expression" dxfId="7" priority="4">
      <formula>E3="ĐT"</formula>
    </cfRule>
    <cfRule type="expression" dxfId="6" priority="5">
      <formula>E3="TT"</formula>
    </cfRule>
    <cfRule type="expression" dxfId="5" priority="6">
      <formula>E3="BC"</formula>
    </cfRule>
    <cfRule type="expression" dxfId="4" priority="7">
      <formula>E3="LS"</formula>
    </cfRule>
  </conditionalFormatting>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topLeftCell="E1" workbookViewId="0">
      <selection activeCell="B3" sqref="B3"/>
    </sheetView>
  </sheetViews>
  <sheetFormatPr defaultRowHeight="14.25"/>
  <cols>
    <col min="1" max="1" width="34" customWidth="1"/>
    <col min="2" max="2" width="23.75" customWidth="1"/>
    <col min="3" max="4" width="18" customWidth="1"/>
    <col min="5" max="6" width="20" customWidth="1"/>
    <col min="7" max="7" width="18" customWidth="1"/>
  </cols>
  <sheetData>
    <row r="1" spans="1:7" s="64" customFormat="1" ht="27.95" customHeight="1">
      <c r="A1" s="78" t="s">
        <v>186</v>
      </c>
      <c r="B1" s="78"/>
      <c r="C1" s="78"/>
      <c r="D1" s="78"/>
      <c r="E1" s="78"/>
      <c r="F1" s="78"/>
      <c r="G1" s="78"/>
    </row>
    <row r="2" spans="1:7" s="44" customFormat="1" ht="38.1" customHeight="1">
      <c r="A2" s="15" t="s">
        <v>187</v>
      </c>
      <c r="B2" s="15" t="s">
        <v>188</v>
      </c>
      <c r="C2" s="15" t="s">
        <v>189</v>
      </c>
      <c r="D2" s="15" t="s">
        <v>190</v>
      </c>
      <c r="E2" s="15" t="s">
        <v>191</v>
      </c>
      <c r="F2" s="15" t="s">
        <v>167</v>
      </c>
      <c r="G2" s="15" t="s">
        <v>192</v>
      </c>
    </row>
    <row r="3" spans="1:7" ht="15">
      <c r="A3" s="47" t="s">
        <v>3</v>
      </c>
      <c r="B3" s="8">
        <f>COUNTIF('Mức độ xác minh dữ kiện'!E$3:E$12,"NB+ĐL")+COUNTIF('Mức độ xác minh dữ kiện'!E$3:E$12,"NB")+COUNTIF('Mức độ xác minh dữ kiện'!E$3:E$12,"ĐL")+COUNTIF('Mức độ xác minh dữ kiện'!E$3:E$12,"ĐT")</f>
        <v>7</v>
      </c>
      <c r="C3" s="8">
        <f>COUNTIF('Mức độ xác minh dữ kiện'!E$3:E$12,"NB+ĐL")+COUNTIF('Mức độ xác minh dữ kiện'!E$3:E$12,"ĐL")</f>
        <v>3</v>
      </c>
      <c r="D3" s="8">
        <f>COUNTIF('Mức độ xác minh dữ kiện'!E$3:E$12,"NB+ĐL")+COUNTIF('Mức độ xác minh dữ kiện'!E$3:E$12,"NB")</f>
        <v>0</v>
      </c>
      <c r="E3" s="8">
        <f>COUNTIF('Mức độ xác minh dữ kiện'!E$3:E$12,"ĐT")</f>
        <v>4</v>
      </c>
      <c r="F3" s="8">
        <f>COUNTIF('Mức độ xác minh dữ kiện'!E$3:E$12,"TT")</f>
        <v>2</v>
      </c>
      <c r="G3" s="8">
        <f>COUNTIF('Mức độ xác minh dữ kiện'!E$3:E$12,"BC")+COUNTIF('Mức độ xác minh dữ kiện'!E$3:E$12,"LS")</f>
        <v>1</v>
      </c>
    </row>
    <row r="4" spans="1:7" ht="15">
      <c r="A4" s="47" t="s">
        <v>4</v>
      </c>
      <c r="B4" s="8">
        <f>COUNTIF('Mức độ xác minh dữ kiện'!F$3:F$12,"NB+ĐL")+COUNTIF('Mức độ xác minh dữ kiện'!F$3:F$12,"NB")+COUNTIF('Mức độ xác minh dữ kiện'!F$3:F$12,"ĐL")+COUNTIF('Mức độ xác minh dữ kiện'!F$3:F$12,"ĐT")</f>
        <v>7</v>
      </c>
      <c r="C4" s="8">
        <f>COUNTIF('Mức độ xác minh dữ kiện'!F$3:F$12,"NB+ĐL")+COUNTIF('Mức độ xác minh dữ kiện'!F$3:F$12,"ĐL")</f>
        <v>2</v>
      </c>
      <c r="D4" s="8">
        <f>COUNTIF('Mức độ xác minh dữ kiện'!F$3:F$12,"NB+ĐL")+COUNTIF('Mức độ xác minh dữ kiện'!F$3:F$12,"NB")</f>
        <v>1</v>
      </c>
      <c r="E4" s="8">
        <f>COUNTIF('Mức độ xác minh dữ kiện'!F$3:F$12,"ĐT")</f>
        <v>4</v>
      </c>
      <c r="F4" s="8">
        <f>COUNTIF('Mức độ xác minh dữ kiện'!F$3:F$12,"TT")</f>
        <v>2</v>
      </c>
      <c r="G4" s="8">
        <f>COUNTIF('Mức độ xác minh dữ kiện'!F$3:F$12,"BC")+COUNTIF('Mức độ xác minh dữ kiện'!F$3:F$12,"LS")</f>
        <v>1</v>
      </c>
    </row>
    <row r="5" spans="1:7" ht="15">
      <c r="A5" s="47" t="s">
        <v>5</v>
      </c>
      <c r="B5" s="8">
        <f>COUNTIF('Mức độ xác minh dữ kiện'!G$3:G$12,"NB+ĐL")+COUNTIF('Mức độ xác minh dữ kiện'!G$3:G$12,"NB")+COUNTIF('Mức độ xác minh dữ kiện'!G$3:G$12,"ĐL")+COUNTIF('Mức độ xác minh dữ kiện'!G$3:G$12,"ĐT")</f>
        <v>8</v>
      </c>
      <c r="C5" s="8">
        <f>COUNTIF('Mức độ xác minh dữ kiện'!G$3:G$12,"NB+ĐL")+COUNTIF('Mức độ xác minh dữ kiện'!G$3:G$12,"ĐL")</f>
        <v>4</v>
      </c>
      <c r="D5" s="8">
        <f>COUNTIF('Mức độ xác minh dữ kiện'!G$3:G$12,"NB+ĐL")+COUNTIF('Mức độ xác minh dữ kiện'!G$3:G$12,"NB")</f>
        <v>0</v>
      </c>
      <c r="E5" s="8">
        <f>COUNTIF('Mức độ xác minh dữ kiện'!G$3:G$12,"ĐT")</f>
        <v>4</v>
      </c>
      <c r="F5" s="8">
        <f>COUNTIF('Mức độ xác minh dữ kiện'!G$3:G$12,"TT")</f>
        <v>1</v>
      </c>
      <c r="G5" s="8">
        <f>COUNTIF('Mức độ xác minh dữ kiện'!G$3:G$12,"BC")+COUNTIF('Mức độ xác minh dữ kiện'!G$3:G$12,"LS")</f>
        <v>1</v>
      </c>
    </row>
    <row r="6" spans="1:7" ht="15">
      <c r="A6" s="47" t="s">
        <v>6</v>
      </c>
      <c r="B6" s="8">
        <f>COUNTIF('Mức độ xác minh dữ kiện'!H$3:H$12,"NB+ĐL")+COUNTIF('Mức độ xác minh dữ kiện'!H$3:H$12,"NB")+COUNTIF('Mức độ xác minh dữ kiện'!H$3:H$12,"ĐL")+COUNTIF('Mức độ xác minh dữ kiện'!H$3:H$12,"ĐT")</f>
        <v>9</v>
      </c>
      <c r="C6" s="8">
        <f>COUNTIF('Mức độ xác minh dữ kiện'!H$3:H$12,"NB+ĐL")+COUNTIF('Mức độ xác minh dữ kiện'!H$3:H$12,"ĐL")</f>
        <v>5</v>
      </c>
      <c r="D6" s="8">
        <f>COUNTIF('Mức độ xác minh dữ kiện'!H$3:H$12,"NB+ĐL")+COUNTIF('Mức độ xác minh dữ kiện'!H$3:H$12,"NB")</f>
        <v>0</v>
      </c>
      <c r="E6" s="8">
        <f>COUNTIF('Mức độ xác minh dữ kiện'!H$3:H$12,"ĐT")</f>
        <v>4</v>
      </c>
      <c r="F6" s="8">
        <f>COUNTIF('Mức độ xác minh dữ kiện'!H$3:H$12,"TT")</f>
        <v>1</v>
      </c>
      <c r="G6" s="8">
        <f>COUNTIF('Mức độ xác minh dữ kiện'!H$3:H$12,"BC")+COUNTIF('Mức độ xác minh dữ kiện'!H$3:H$12,"LS")</f>
        <v>0</v>
      </c>
    </row>
    <row r="7" spans="1:7" ht="15">
      <c r="A7" s="47" t="s">
        <v>7</v>
      </c>
      <c r="B7" s="8">
        <f>COUNTIF('Mức độ xác minh dữ kiện'!I$3:I$12,"NB+ĐL")+COUNTIF('Mức độ xác minh dữ kiện'!I$3:I$12,"NB")+COUNTIF('Mức độ xác minh dữ kiện'!I$3:I$12,"ĐL")+COUNTIF('Mức độ xác minh dữ kiện'!I$3:I$12,"ĐT")</f>
        <v>8</v>
      </c>
      <c r="C7" s="8">
        <f>COUNTIF('Mức độ xác minh dữ kiện'!I$3:I$12,"NB+ĐL")+COUNTIF('Mức độ xác minh dữ kiện'!I$3:I$12,"ĐL")</f>
        <v>4</v>
      </c>
      <c r="D7" s="8">
        <f>COUNTIF('Mức độ xác minh dữ kiện'!I$3:I$12,"NB+ĐL")+COUNTIF('Mức độ xác minh dữ kiện'!I$3:I$12,"NB")</f>
        <v>3</v>
      </c>
      <c r="E7" s="8">
        <f>COUNTIF('Mức độ xác minh dữ kiện'!I$3:I$12,"ĐT")</f>
        <v>2</v>
      </c>
      <c r="F7" s="8">
        <f>COUNTIF('Mức độ xác minh dữ kiện'!I$3:I$12,"TT")</f>
        <v>1</v>
      </c>
      <c r="G7" s="8">
        <f>COUNTIF('Mức độ xác minh dữ kiện'!I$3:I$12,"BC")+COUNTIF('Mức độ xác minh dữ kiện'!I$3:I$12,"LS")</f>
        <v>1</v>
      </c>
    </row>
    <row r="8" spans="1:7" ht="15">
      <c r="A8" s="47" t="s">
        <v>8</v>
      </c>
      <c r="B8" s="8">
        <f>COUNTIF('Mức độ xác minh dữ kiện'!J$3:J$12,"NB+ĐL")+COUNTIF('Mức độ xác minh dữ kiện'!J$3:J$12,"NB")+COUNTIF('Mức độ xác minh dữ kiện'!J$3:J$12,"ĐL")+COUNTIF('Mức độ xác minh dữ kiện'!J$3:J$12,"ĐT")</f>
        <v>9</v>
      </c>
      <c r="C8" s="8">
        <f>COUNTIF('Mức độ xác minh dữ kiện'!J$3:J$12,"NB+ĐL")+COUNTIF('Mức độ xác minh dữ kiện'!J$3:J$12,"ĐL")</f>
        <v>7</v>
      </c>
      <c r="D8" s="8">
        <f>COUNTIF('Mức độ xác minh dữ kiện'!J$3:J$12,"NB+ĐL")+COUNTIF('Mức độ xác minh dữ kiện'!J$3:J$12,"NB")</f>
        <v>1</v>
      </c>
      <c r="E8" s="8">
        <f>COUNTIF('Mức độ xác minh dữ kiện'!J$3:J$12,"ĐT")</f>
        <v>2</v>
      </c>
      <c r="F8" s="8">
        <f>COUNTIF('Mức độ xác minh dữ kiện'!J$3:J$12,"TT")</f>
        <v>1</v>
      </c>
      <c r="G8" s="8">
        <f>COUNTIF('Mức độ xác minh dữ kiện'!J$3:J$12,"BC")+COUNTIF('Mức độ xác minh dữ kiện'!J$3:J$12,"LS")</f>
        <v>0</v>
      </c>
    </row>
    <row r="9" spans="1:7" ht="15">
      <c r="A9" s="47" t="s">
        <v>9</v>
      </c>
      <c r="B9" s="8">
        <f>COUNTIF('Mức độ xác minh dữ kiện'!K$3:K$12,"NB+ĐL")+COUNTIF('Mức độ xác minh dữ kiện'!K$3:K$12,"NB")+COUNTIF('Mức độ xác minh dữ kiện'!K$3:K$12,"ĐL")+COUNTIF('Mức độ xác minh dữ kiện'!K$3:K$12,"ĐT")</f>
        <v>10</v>
      </c>
      <c r="C9" s="8">
        <f>COUNTIF('Mức độ xác minh dữ kiện'!K$3:K$12,"NB+ĐL")+COUNTIF('Mức độ xác minh dữ kiện'!K$3:K$12,"ĐL")</f>
        <v>0</v>
      </c>
      <c r="D9" s="8">
        <f>COUNTIF('Mức độ xác minh dữ kiện'!K$3:K$12,"NB+ĐL")+COUNTIF('Mức độ xác minh dữ kiện'!K$3:K$12,"NB")</f>
        <v>1</v>
      </c>
      <c r="E9" s="8">
        <f>COUNTIF('Mức độ xác minh dữ kiện'!K$3:K$12,"ĐT")</f>
        <v>9</v>
      </c>
      <c r="F9" s="8">
        <f>COUNTIF('Mức độ xác minh dữ kiện'!K$3:K$12,"TT")</f>
        <v>0</v>
      </c>
      <c r="G9" s="8">
        <f>COUNTIF('Mức độ xác minh dữ kiện'!K$3:K$12,"BC")+COUNTIF('Mức độ xác minh dữ kiện'!K$3:K$12,"LS")</f>
        <v>0</v>
      </c>
    </row>
    <row r="10" spans="1:7" ht="15">
      <c r="A10" s="47" t="s">
        <v>10</v>
      </c>
      <c r="B10" s="8">
        <f>COUNTIF('Mức độ xác minh dữ kiện'!L$3:L$12,"NB+ĐL")+COUNTIF('Mức độ xác minh dữ kiện'!L$3:L$12,"NB")+COUNTIF('Mức độ xác minh dữ kiện'!L$3:L$12,"ĐL")+COUNTIF('Mức độ xác minh dữ kiện'!L$3:L$12,"ĐT")</f>
        <v>9</v>
      </c>
      <c r="C10" s="8">
        <f>COUNTIF('Mức độ xác minh dữ kiện'!L$3:L$12,"NB+ĐL")+COUNTIF('Mức độ xác minh dữ kiện'!L$3:L$12,"ĐL")</f>
        <v>0</v>
      </c>
      <c r="D10" s="8">
        <f>COUNTIF('Mức độ xác minh dữ kiện'!L$3:L$12,"NB+ĐL")+COUNTIF('Mức độ xác minh dữ kiện'!L$3:L$12,"NB")</f>
        <v>2</v>
      </c>
      <c r="E10" s="8">
        <f>COUNTIF('Mức độ xác minh dữ kiện'!L$3:L$12,"ĐT")</f>
        <v>7</v>
      </c>
      <c r="F10" s="8">
        <f>COUNTIF('Mức độ xác minh dữ kiện'!L$3:L$12,"TT")</f>
        <v>1</v>
      </c>
      <c r="G10" s="8">
        <f>COUNTIF('Mức độ xác minh dữ kiện'!L$3:L$12,"BC")+COUNTIF('Mức độ xác minh dữ kiện'!L$3:L$12,"LS")</f>
        <v>0</v>
      </c>
    </row>
  </sheetData>
  <mergeCells count="1">
    <mergeCell ref="A1:G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2"/>
  <sheetViews>
    <sheetView topLeftCell="L1" zoomScale="91" zoomScaleNormal="91" workbookViewId="0">
      <selection activeCell="M10" sqref="M10"/>
    </sheetView>
  </sheetViews>
  <sheetFormatPr defaultRowHeight="14.25"/>
  <cols>
    <col min="1" max="1" width="18.125" customWidth="1"/>
    <col min="2" max="2" width="21" customWidth="1"/>
    <col min="3" max="6" width="18" customWidth="1"/>
    <col min="7" max="7" width="19" customWidth="1"/>
    <col min="8" max="8" width="46" customWidth="1"/>
    <col min="9" max="9" width="50" customWidth="1"/>
  </cols>
  <sheetData>
    <row r="1" spans="1:9" ht="27.95" customHeight="1">
      <c r="A1" s="78" t="s">
        <v>193</v>
      </c>
      <c r="B1" s="78"/>
      <c r="C1" s="78"/>
      <c r="D1" s="78"/>
      <c r="E1" s="78"/>
      <c r="F1" s="78"/>
      <c r="G1" s="78"/>
      <c r="H1" s="78"/>
      <c r="I1" s="78"/>
    </row>
    <row r="2" spans="1:9" s="44" customFormat="1" ht="42" customHeight="1">
      <c r="A2" s="45" t="s">
        <v>1</v>
      </c>
      <c r="B2" s="15" t="s">
        <v>194</v>
      </c>
      <c r="C2" s="15" t="s">
        <v>195</v>
      </c>
      <c r="D2" s="15" t="s">
        <v>196</v>
      </c>
      <c r="E2" s="15" t="s">
        <v>197</v>
      </c>
      <c r="F2" s="15" t="s">
        <v>198</v>
      </c>
      <c r="G2" s="15" t="s">
        <v>199</v>
      </c>
      <c r="H2" s="15" t="s">
        <v>200</v>
      </c>
      <c r="I2" s="15" t="s">
        <v>201</v>
      </c>
    </row>
    <row r="3" spans="1:9" ht="30">
      <c r="A3" s="47" t="s">
        <v>12</v>
      </c>
      <c r="B3" s="8">
        <f>COUNTIF('Mức độ xác minh dữ kiện'!$E3:$L3,"NB+ĐL")+COUNTIF('Mức độ xác minh dữ kiện'!$E3:$L3,"NB")+COUNTIF('Mức độ xác minh dữ kiện'!$E3:$L3,"ĐL")+COUNTIF('Mức độ xác minh dữ kiện'!$E3:$L3,"ĐT")</f>
        <v>8</v>
      </c>
      <c r="C3" s="8">
        <f>COUNTIF('Mức độ xác minh dữ kiện'!$E3:$L3,"NB+ĐL")+COUNTIF('Mức độ xác minh dữ kiện'!$E3:$L3,"ĐL")</f>
        <v>5</v>
      </c>
      <c r="D3" s="8">
        <f>COUNTIF('Mức độ xác minh dữ kiện'!$E3:$L3,"NB+ĐL")+COUNTIF('Mức độ xác minh dữ kiện'!$E3:$L3,"NB")</f>
        <v>3</v>
      </c>
      <c r="E3" s="8">
        <f>COUNTIF('Mức độ xác minh dữ kiện'!$E3:$L3,"ĐT")</f>
        <v>2</v>
      </c>
      <c r="F3" s="8">
        <f>COUNTIF('Mức độ xác minh dữ kiện'!$E3:$L3,"TT")</f>
        <v>0</v>
      </c>
      <c r="G3" s="8">
        <f>COUNTIF('Mức độ xác minh dữ kiện'!$E3:$L3,"BC")+COUNTIF('Mức độ xác minh dữ kiện'!$E3:$L3,"LS")</f>
        <v>0</v>
      </c>
      <c r="H3" s="8" t="s">
        <v>155</v>
      </c>
      <c r="I3" s="8" t="s">
        <v>202</v>
      </c>
    </row>
    <row r="4" spans="1:9" ht="45">
      <c r="A4" s="47" t="s">
        <v>23</v>
      </c>
      <c r="B4" s="8">
        <f>COUNTIF('Mức độ xác minh dữ kiện'!$E4:$L4,"NB+ĐL")+COUNTIF('Mức độ xác minh dữ kiện'!$E4:$L4,"NB")+COUNTIF('Mức độ xác minh dữ kiện'!$E4:$L4,"ĐL")+COUNTIF('Mức độ xác minh dữ kiện'!$E4:$L4,"ĐT")</f>
        <v>8</v>
      </c>
      <c r="C4" s="8">
        <f>COUNTIF('Mức độ xác minh dữ kiện'!$E4:$L4,"NB+ĐL")+COUNTIF('Mức độ xác minh dữ kiện'!$E4:$L4,"ĐL")</f>
        <v>1</v>
      </c>
      <c r="D4" s="8">
        <f>COUNTIF('Mức độ xác minh dữ kiện'!$E4:$L4,"NB+ĐL")+COUNTIF('Mức độ xác minh dữ kiện'!$E4:$L4,"NB")</f>
        <v>2</v>
      </c>
      <c r="E4" s="8">
        <f>COUNTIF('Mức độ xác minh dữ kiện'!$E4:$L4,"ĐT")</f>
        <v>5</v>
      </c>
      <c r="F4" s="8">
        <f>COUNTIF('Mức độ xác minh dữ kiện'!$E4:$L4,"TT")</f>
        <v>0</v>
      </c>
      <c r="G4" s="8">
        <f>COUNTIF('Mức độ xác minh dữ kiện'!$E4:$L4,"BC")+COUNTIF('Mức độ xác minh dữ kiện'!$E4:$L4,"LS")</f>
        <v>0</v>
      </c>
      <c r="H4" s="8" t="s">
        <v>158</v>
      </c>
      <c r="I4" s="8" t="s">
        <v>203</v>
      </c>
    </row>
    <row r="5" spans="1:9" ht="43.5">
      <c r="A5" s="47" t="s">
        <v>34</v>
      </c>
      <c r="B5" s="8">
        <f>COUNTIF('Mức độ xác minh dữ kiện'!$E5:$L5,"NB+ĐL")+COUNTIF('Mức độ xác minh dữ kiện'!$E5:$L5,"NB")+COUNTIF('Mức độ xác minh dữ kiện'!$E5:$L5,"ĐL")+COUNTIF('Mức độ xác minh dữ kiện'!$E5:$L5,"ĐT")</f>
        <v>4</v>
      </c>
      <c r="C5" s="8">
        <f>COUNTIF('Mức độ xác minh dữ kiện'!$E5:$L5,"NB+ĐL")+COUNTIF('Mức độ xác minh dữ kiện'!$E5:$L5,"ĐL")</f>
        <v>1</v>
      </c>
      <c r="D5" s="8">
        <f>COUNTIF('Mức độ xác minh dữ kiện'!$E5:$L5,"NB+ĐL")+COUNTIF('Mức độ xác minh dữ kiện'!$E5:$L5,"NB")</f>
        <v>0</v>
      </c>
      <c r="E5" s="8">
        <f>COUNTIF('Mức độ xác minh dữ kiện'!$E5:$L5,"ĐT")</f>
        <v>3</v>
      </c>
      <c r="F5" s="8">
        <f>COUNTIF('Mức độ xác minh dữ kiện'!$E5:$L5,"TT")</f>
        <v>2</v>
      </c>
      <c r="G5" s="8">
        <f>COUNTIF('Mức độ xác minh dữ kiện'!$E5:$L5,"BC")+COUNTIF('Mức độ xác minh dữ kiện'!$E5:$L5,"LS")</f>
        <v>2</v>
      </c>
      <c r="H5" s="8" t="s">
        <v>163</v>
      </c>
      <c r="I5" s="8" t="s">
        <v>204</v>
      </c>
    </row>
    <row r="6" spans="1:9" ht="43.5">
      <c r="A6" s="47" t="s">
        <v>45</v>
      </c>
      <c r="B6" s="8">
        <f>COUNTIF('Mức độ xác minh dữ kiện'!$E6:$L6,"NB+ĐL")+COUNTIF('Mức độ xác minh dữ kiện'!$E6:$L6,"NB")+COUNTIF('Mức độ xác minh dữ kiện'!$E6:$L6,"ĐL")+COUNTIF('Mức độ xác minh dữ kiện'!$E6:$L6,"ĐT")</f>
        <v>7</v>
      </c>
      <c r="C6" s="8">
        <f>COUNTIF('Mức độ xác minh dữ kiện'!$E6:$L6,"NB+ĐL")+COUNTIF('Mức độ xác minh dữ kiện'!$E6:$L6,"ĐL")</f>
        <v>2</v>
      </c>
      <c r="D6" s="8">
        <f>COUNTIF('Mức độ xác minh dữ kiện'!$E6:$L6,"NB+ĐL")+COUNTIF('Mức độ xác minh dữ kiện'!$E6:$L6,"NB")</f>
        <v>0</v>
      </c>
      <c r="E6" s="8">
        <f>COUNTIF('Mức độ xác minh dữ kiện'!$E6:$L6,"ĐT")</f>
        <v>5</v>
      </c>
      <c r="F6" s="8">
        <f>COUNTIF('Mức độ xác minh dữ kiện'!$E6:$L6,"TT")</f>
        <v>1</v>
      </c>
      <c r="G6" s="8">
        <f>COUNTIF('Mức độ xác minh dữ kiện'!$E6:$L6,"BC")+COUNTIF('Mức độ xác minh dữ kiện'!$E6:$L6,"LS")</f>
        <v>0</v>
      </c>
      <c r="H6" s="8" t="s">
        <v>166</v>
      </c>
      <c r="I6" s="8" t="s">
        <v>205</v>
      </c>
    </row>
    <row r="7" spans="1:9" ht="43.5">
      <c r="A7" s="47" t="s">
        <v>56</v>
      </c>
      <c r="B7" s="8">
        <f>COUNTIF('Mức độ xác minh dữ kiện'!$E7:$L7,"NB+ĐL")+COUNTIF('Mức độ xác minh dữ kiện'!$E7:$L7,"NB")+COUNTIF('Mức độ xác minh dữ kiện'!$E7:$L7,"ĐL")+COUNTIF('Mức độ xác minh dữ kiện'!$E7:$L7,"ĐT")</f>
        <v>8</v>
      </c>
      <c r="C7" s="8">
        <f>COUNTIF('Mức độ xác minh dữ kiện'!$E7:$L7,"NB+ĐL")+COUNTIF('Mức độ xác minh dữ kiện'!$E7:$L7,"ĐL")</f>
        <v>4</v>
      </c>
      <c r="D7" s="8">
        <f>COUNTIF('Mức độ xác minh dữ kiện'!$E7:$L7,"NB+ĐL")+COUNTIF('Mức độ xác minh dữ kiện'!$E7:$L7,"NB")</f>
        <v>0</v>
      </c>
      <c r="E7" s="8">
        <f>COUNTIF('Mức độ xác minh dữ kiện'!$E7:$L7,"ĐT")</f>
        <v>4</v>
      </c>
      <c r="F7" s="8">
        <f>COUNTIF('Mức độ xác minh dữ kiện'!$E7:$L7,"TT")</f>
        <v>0</v>
      </c>
      <c r="G7" s="8">
        <f>COUNTIF('Mức độ xác minh dữ kiện'!$E7:$L7,"BC")+COUNTIF('Mức độ xác minh dữ kiện'!$E7:$L7,"LS")</f>
        <v>0</v>
      </c>
      <c r="H7" s="8" t="s">
        <v>169</v>
      </c>
      <c r="I7" s="8" t="s">
        <v>206</v>
      </c>
    </row>
    <row r="8" spans="1:9" ht="30">
      <c r="A8" s="47" t="s">
        <v>67</v>
      </c>
      <c r="B8" s="8">
        <f>COUNTIF('Mức độ xác minh dữ kiện'!$E8:$L8,"NB+ĐL")+COUNTIF('Mức độ xác minh dữ kiện'!$E8:$L8,"NB")+COUNTIF('Mức độ xác minh dữ kiện'!$E8:$L8,"ĐL")+COUNTIF('Mức độ xác minh dữ kiện'!$E8:$L8,"ĐT")</f>
        <v>8</v>
      </c>
      <c r="C8" s="8">
        <f>COUNTIF('Mức độ xác minh dữ kiện'!$E8:$L8,"NB+ĐL")+COUNTIF('Mức độ xác minh dữ kiện'!$E8:$L8,"ĐL")</f>
        <v>4</v>
      </c>
      <c r="D8" s="8">
        <f>COUNTIF('Mức độ xác minh dữ kiện'!$E8:$L8,"NB+ĐL")+COUNTIF('Mức độ xác minh dữ kiện'!$E8:$L8,"NB")</f>
        <v>0</v>
      </c>
      <c r="E8" s="8">
        <f>COUNTIF('Mức độ xác minh dữ kiện'!$E8:$L8,"ĐT")</f>
        <v>4</v>
      </c>
      <c r="F8" s="8">
        <f>COUNTIF('Mức độ xác minh dữ kiện'!$E8:$L8,"TT")</f>
        <v>0</v>
      </c>
      <c r="G8" s="8">
        <f>COUNTIF('Mức độ xác minh dữ kiện'!$E8:$L8,"BC")+COUNTIF('Mức độ xác minh dữ kiện'!$E8:$L8,"LS")</f>
        <v>0</v>
      </c>
      <c r="H8" s="8" t="s">
        <v>172</v>
      </c>
      <c r="I8" s="8" t="s">
        <v>207</v>
      </c>
    </row>
    <row r="9" spans="1:9" ht="30">
      <c r="A9" s="47" t="s">
        <v>78</v>
      </c>
      <c r="B9" s="8">
        <f>COUNTIF('Mức độ xác minh dữ kiện'!$E9:$L9,"NB+ĐL")+COUNTIF('Mức độ xác minh dữ kiện'!$E9:$L9,"NB")+COUNTIF('Mức độ xác minh dữ kiện'!$E9:$L9,"ĐL")+COUNTIF('Mức độ xác minh dữ kiện'!$E9:$L9,"ĐT")</f>
        <v>6</v>
      </c>
      <c r="C9" s="8">
        <f>COUNTIF('Mức độ xác minh dữ kiện'!$E9:$L9,"NB+ĐL")+COUNTIF('Mức độ xác minh dữ kiện'!$E9:$L9,"ĐL")</f>
        <v>2</v>
      </c>
      <c r="D9" s="8">
        <f>COUNTIF('Mức độ xác minh dữ kiện'!$E9:$L9,"NB+ĐL")+COUNTIF('Mức độ xác minh dữ kiện'!$E9:$L9,"NB")</f>
        <v>0</v>
      </c>
      <c r="E9" s="8">
        <f>COUNTIF('Mức độ xác minh dữ kiện'!$E9:$L9,"ĐT")</f>
        <v>4</v>
      </c>
      <c r="F9" s="8">
        <f>COUNTIF('Mức độ xác minh dữ kiện'!$E9:$L9,"TT")</f>
        <v>1</v>
      </c>
      <c r="G9" s="8">
        <f>COUNTIF('Mức độ xác minh dữ kiện'!$E9:$L9,"BC")+COUNTIF('Mức độ xác minh dữ kiện'!$E9:$L9,"LS")</f>
        <v>1</v>
      </c>
      <c r="H9" s="8" t="s">
        <v>176</v>
      </c>
      <c r="I9" s="8" t="s">
        <v>208</v>
      </c>
    </row>
    <row r="10" spans="1:9" ht="43.5">
      <c r="A10" s="47" t="s">
        <v>89</v>
      </c>
      <c r="B10" s="8">
        <f>COUNTIF('Mức độ xác minh dữ kiện'!$E10:$L10,"NB+ĐL")+COUNTIF('Mức độ xác minh dữ kiện'!$E10:$L10,"NB")+COUNTIF('Mức độ xác minh dữ kiện'!$E10:$L10,"ĐL")+COUNTIF('Mức độ xác minh dữ kiện'!$E10:$L10,"ĐT")</f>
        <v>6</v>
      </c>
      <c r="C10" s="8">
        <f>COUNTIF('Mức độ xác minh dữ kiện'!$E10:$L10,"NB+ĐL")+COUNTIF('Mức độ xác minh dữ kiện'!$E10:$L10,"ĐL")</f>
        <v>1</v>
      </c>
      <c r="D10" s="8">
        <f>COUNTIF('Mức độ xác minh dữ kiện'!$E10:$L10,"NB+ĐL")+COUNTIF('Mức độ xác minh dữ kiện'!$E10:$L10,"NB")</f>
        <v>1</v>
      </c>
      <c r="E10" s="8">
        <f>COUNTIF('Mức độ xác minh dữ kiện'!$E10:$L10,"ĐT")</f>
        <v>4</v>
      </c>
      <c r="F10" s="8">
        <f>COUNTIF('Mức độ xác minh dữ kiện'!$E10:$L10,"TT")</f>
        <v>2</v>
      </c>
      <c r="G10" s="8">
        <f>COUNTIF('Mức độ xác minh dữ kiện'!$E10:$L10,"BC")+COUNTIF('Mức độ xác minh dữ kiện'!$E10:$L10,"LS")</f>
        <v>0</v>
      </c>
      <c r="H10" s="8" t="s">
        <v>177</v>
      </c>
      <c r="I10" s="8" t="s">
        <v>209</v>
      </c>
    </row>
    <row r="11" spans="1:9" ht="43.5">
      <c r="A11" s="47" t="s">
        <v>100</v>
      </c>
      <c r="B11" s="8">
        <f>COUNTIF('Mức độ xác minh dữ kiện'!$E11:$L11,"NB+ĐL")+COUNTIF('Mức độ xác minh dữ kiện'!$E11:$L11,"NB")+COUNTIF('Mức độ xác minh dữ kiện'!$E11:$L11,"ĐL")+COUNTIF('Mức độ xác minh dữ kiện'!$E11:$L11,"ĐT")</f>
        <v>8</v>
      </c>
      <c r="C11" s="8">
        <f>COUNTIF('Mức độ xác minh dữ kiện'!$E11:$L11,"NB+ĐL")+COUNTIF('Mức độ xác minh dữ kiện'!$E11:$L11,"ĐL")</f>
        <v>5</v>
      </c>
      <c r="D11" s="8">
        <f>COUNTIF('Mức độ xác minh dữ kiện'!$E11:$L11,"NB+ĐL")+COUNTIF('Mức độ xác minh dữ kiện'!$E11:$L11,"NB")</f>
        <v>0</v>
      </c>
      <c r="E11" s="8">
        <f>COUNTIF('Mức độ xác minh dữ kiện'!$E11:$L11,"ĐT")</f>
        <v>3</v>
      </c>
      <c r="F11" s="8">
        <f>COUNTIF('Mức độ xác minh dữ kiện'!$E11:$L11,"TT")</f>
        <v>0</v>
      </c>
      <c r="G11" s="8">
        <f>COUNTIF('Mức độ xác minh dữ kiện'!$E11:$L11,"BC")+COUNTIF('Mức độ xác minh dữ kiện'!$E11:$L11,"LS")</f>
        <v>0</v>
      </c>
      <c r="H11" s="8" t="s">
        <v>178</v>
      </c>
      <c r="I11" s="8" t="s">
        <v>210</v>
      </c>
    </row>
    <row r="12" spans="1:9" ht="43.5">
      <c r="A12" s="47" t="s">
        <v>111</v>
      </c>
      <c r="B12" s="8">
        <f>COUNTIF('Mức độ xác minh dữ kiện'!$E12:$L12,"NB+ĐL")+COUNTIF('Mức độ xác minh dữ kiện'!$E12:$L12,"NB")+COUNTIF('Mức độ xác minh dữ kiện'!$E12:$L12,"ĐL")+COUNTIF('Mức độ xác minh dữ kiện'!$E12:$L12,"ĐT")</f>
        <v>4</v>
      </c>
      <c r="C12" s="8">
        <f>COUNTIF('Mức độ xác minh dữ kiện'!$E12:$L12,"NB+ĐL")+COUNTIF('Mức độ xác minh dữ kiện'!$E12:$L12,"ĐL")</f>
        <v>0</v>
      </c>
      <c r="D12" s="8">
        <f>COUNTIF('Mức độ xác minh dữ kiện'!$E12:$L12,"NB+ĐL")+COUNTIF('Mức độ xác minh dữ kiện'!$E12:$L12,"NB")</f>
        <v>2</v>
      </c>
      <c r="E12" s="8">
        <f>COUNTIF('Mức độ xác minh dữ kiện'!$E12:$L12,"ĐT")</f>
        <v>2</v>
      </c>
      <c r="F12" s="8">
        <f>COUNTIF('Mức độ xác minh dữ kiện'!$E12:$L12,"TT")</f>
        <v>3</v>
      </c>
      <c r="G12" s="8">
        <f>COUNTIF('Mức độ xác minh dữ kiện'!$E12:$L12,"BC")+COUNTIF('Mức độ xác minh dữ kiện'!$E12:$L12,"LS")</f>
        <v>1</v>
      </c>
      <c r="H12" s="8" t="s">
        <v>211</v>
      </c>
      <c r="I12" s="8" t="s">
        <v>212</v>
      </c>
    </row>
  </sheetData>
  <mergeCells count="1">
    <mergeCell ref="A1:I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9"/>
  <sheetViews>
    <sheetView workbookViewId="0">
      <selection sqref="A1:D1"/>
    </sheetView>
  </sheetViews>
  <sheetFormatPr defaultRowHeight="14.25"/>
  <cols>
    <col min="1" max="1" width="39.25" customWidth="1"/>
    <col min="2" max="2" width="46" customWidth="1"/>
    <col min="3" max="3" width="38.25" customWidth="1"/>
    <col min="4" max="4" width="34.125" customWidth="1"/>
  </cols>
  <sheetData>
    <row r="1" spans="1:14" ht="35.25" customHeight="1">
      <c r="A1" s="78" t="s">
        <v>193</v>
      </c>
      <c r="B1" s="78"/>
      <c r="C1" s="78"/>
      <c r="D1" s="78"/>
      <c r="E1" s="65"/>
      <c r="F1" s="65"/>
      <c r="G1" s="65"/>
      <c r="H1" s="65"/>
      <c r="I1" s="65"/>
      <c r="J1" s="62"/>
      <c r="K1" s="62"/>
      <c r="L1" s="62"/>
      <c r="M1" s="62"/>
      <c r="N1" s="62"/>
    </row>
    <row r="2" spans="1:14" s="18" customFormat="1" ht="36" customHeight="1">
      <c r="A2" s="63" t="s">
        <v>213</v>
      </c>
      <c r="B2" s="63" t="s">
        <v>214</v>
      </c>
      <c r="C2" s="63" t="s">
        <v>215</v>
      </c>
      <c r="D2" s="63" t="s">
        <v>216</v>
      </c>
    </row>
    <row r="3" spans="1:14" ht="72.75" customHeight="1">
      <c r="A3" s="48" t="s">
        <v>217</v>
      </c>
      <c r="B3" s="43" t="s">
        <v>218</v>
      </c>
      <c r="C3" s="43" t="s">
        <v>219</v>
      </c>
      <c r="D3" s="43" t="s">
        <v>220</v>
      </c>
    </row>
    <row r="4" spans="1:14" ht="60">
      <c r="A4" s="48" t="s">
        <v>221</v>
      </c>
      <c r="B4" s="43" t="s">
        <v>222</v>
      </c>
      <c r="C4" s="43" t="s">
        <v>223</v>
      </c>
      <c r="D4" s="43" t="s">
        <v>224</v>
      </c>
    </row>
    <row r="5" spans="1:14" ht="57">
      <c r="A5" s="49" t="s">
        <v>225</v>
      </c>
      <c r="B5" s="17" t="s">
        <v>226</v>
      </c>
      <c r="C5" s="17" t="s">
        <v>227</v>
      </c>
      <c r="D5" s="17" t="s">
        <v>228</v>
      </c>
    </row>
    <row r="6" spans="1:14" ht="42.75">
      <c r="A6" s="48" t="s">
        <v>229</v>
      </c>
      <c r="B6" s="43" t="s">
        <v>230</v>
      </c>
      <c r="C6" s="43" t="s">
        <v>231</v>
      </c>
      <c r="D6" s="43" t="s">
        <v>232</v>
      </c>
    </row>
    <row r="7" spans="1:14" ht="57">
      <c r="A7" s="48" t="s">
        <v>233</v>
      </c>
      <c r="B7" s="43" t="s">
        <v>234</v>
      </c>
      <c r="C7" s="43" t="s">
        <v>235</v>
      </c>
      <c r="D7" s="43" t="s">
        <v>236</v>
      </c>
    </row>
    <row r="8" spans="1:14" ht="57">
      <c r="A8" s="49" t="s">
        <v>237</v>
      </c>
      <c r="B8" s="17" t="s">
        <v>238</v>
      </c>
      <c r="C8" s="17" t="s">
        <v>239</v>
      </c>
      <c r="D8" s="17" t="s">
        <v>240</v>
      </c>
    </row>
    <row r="9" spans="1:14" ht="71.25">
      <c r="A9" s="49" t="s">
        <v>241</v>
      </c>
      <c r="B9" s="17" t="s">
        <v>242</v>
      </c>
      <c r="C9" s="17" t="s">
        <v>243</v>
      </c>
      <c r="D9" s="17" t="s">
        <v>244</v>
      </c>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48554"/>
  <sheetViews>
    <sheetView tabSelected="1" zoomScale="148" zoomScaleNormal="148" workbookViewId="0">
      <pane xSplit="1" topLeftCell="B1" activePane="topRight" state="frozen"/>
      <selection activeCell="A109" sqref="A109"/>
      <selection pane="topRight" activeCell="Q2" sqref="Q2"/>
    </sheetView>
  </sheetViews>
  <sheetFormatPr defaultColWidth="12.625" defaultRowHeight="15"/>
  <cols>
    <col min="1" max="1" width="23.125" style="51" customWidth="1"/>
    <col min="2" max="2" width="17" customWidth="1"/>
    <col min="3" max="3" width="25" customWidth="1"/>
    <col min="4" max="4" width="34" customWidth="1"/>
    <col min="5" max="5" width="52" customWidth="1"/>
    <col min="6" max="6" width="13" customWidth="1"/>
    <col min="7" max="7" width="15" hidden="1" customWidth="1"/>
    <col min="8" max="8" width="23.375" hidden="1" customWidth="1"/>
    <col min="9" max="9" width="32" customWidth="1"/>
    <col min="10" max="10" width="24" customWidth="1"/>
    <col min="11" max="11" width="22" customWidth="1"/>
    <col min="12" max="12" width="48" customWidth="1"/>
    <col min="13" max="13" width="31" hidden="1" customWidth="1"/>
    <col min="14" max="14" width="33" hidden="1" customWidth="1"/>
    <col min="15" max="15" width="24" customWidth="1"/>
    <col min="16" max="16" width="28" customWidth="1"/>
    <col min="17" max="17" width="42.625" customWidth="1"/>
    <col min="18" max="23" width="8.625" customWidth="1"/>
  </cols>
  <sheetData>
    <row r="1" spans="1:17" ht="31.5" customHeight="1">
      <c r="A1" s="52" t="s">
        <v>245</v>
      </c>
      <c r="B1" s="53" t="s">
        <v>246</v>
      </c>
      <c r="C1" s="53" t="s">
        <v>247</v>
      </c>
      <c r="D1" s="53" t="s">
        <v>248</v>
      </c>
      <c r="E1" s="54" t="s">
        <v>249</v>
      </c>
      <c r="F1" s="53" t="s">
        <v>250</v>
      </c>
      <c r="G1" s="53" t="s">
        <v>251</v>
      </c>
      <c r="H1" s="53" t="s">
        <v>252</v>
      </c>
      <c r="I1" s="53" t="s">
        <v>253</v>
      </c>
      <c r="J1" s="53" t="s">
        <v>254</v>
      </c>
      <c r="K1" s="53" t="s">
        <v>255</v>
      </c>
      <c r="L1" s="53" t="s">
        <v>256</v>
      </c>
      <c r="M1" s="53" t="s">
        <v>257</v>
      </c>
      <c r="N1" s="53" t="s">
        <v>258</v>
      </c>
      <c r="O1" s="53" t="s">
        <v>259</v>
      </c>
      <c r="P1" s="53" t="s">
        <v>260</v>
      </c>
      <c r="Q1" s="55" t="s">
        <v>261</v>
      </c>
    </row>
    <row r="2" spans="1:17" ht="67.5" customHeight="1">
      <c r="A2" s="50" t="s">
        <v>12</v>
      </c>
      <c r="B2" s="1" t="s">
        <v>262</v>
      </c>
      <c r="C2" s="1" t="s">
        <v>263</v>
      </c>
      <c r="D2" s="1" t="s">
        <v>994</v>
      </c>
      <c r="E2" s="1" t="s">
        <v>995</v>
      </c>
      <c r="F2" s="2" t="s">
        <v>264</v>
      </c>
      <c r="G2" s="7">
        <v>739782</v>
      </c>
      <c r="H2" s="1" t="s">
        <v>265</v>
      </c>
      <c r="I2" s="1" t="s">
        <v>266</v>
      </c>
      <c r="J2" s="1" t="s">
        <v>267</v>
      </c>
      <c r="K2" s="1" t="s">
        <v>268</v>
      </c>
      <c r="L2" s="3" t="s">
        <v>269</v>
      </c>
      <c r="M2" s="1" t="s">
        <v>270</v>
      </c>
      <c r="N2" s="1" t="s">
        <v>271</v>
      </c>
      <c r="O2" s="1" t="s">
        <v>272</v>
      </c>
      <c r="P2" s="1" t="s">
        <v>273</v>
      </c>
      <c r="Q2" s="87" t="s">
        <v>280</v>
      </c>
    </row>
    <row r="3" spans="1:17" ht="67.5" customHeight="1">
      <c r="A3" s="50" t="s">
        <v>12</v>
      </c>
      <c r="B3" s="1" t="s">
        <v>274</v>
      </c>
      <c r="C3" s="1" t="s">
        <v>263</v>
      </c>
      <c r="D3" s="1" t="s">
        <v>996</v>
      </c>
      <c r="E3" s="1" t="s">
        <v>997</v>
      </c>
      <c r="F3" s="2" t="s">
        <v>275</v>
      </c>
      <c r="G3" s="7"/>
      <c r="H3" s="1"/>
      <c r="I3" s="1" t="s">
        <v>276</v>
      </c>
      <c r="J3" s="1" t="s">
        <v>267</v>
      </c>
      <c r="K3" s="1" t="s">
        <v>275</v>
      </c>
      <c r="L3" s="3" t="s">
        <v>277</v>
      </c>
      <c r="M3" s="1" t="s">
        <v>278</v>
      </c>
      <c r="N3" s="1" t="s">
        <v>271</v>
      </c>
      <c r="O3" s="1" t="s">
        <v>272</v>
      </c>
      <c r="P3" s="1" t="s">
        <v>279</v>
      </c>
      <c r="Q3" s="4" t="s">
        <v>280</v>
      </c>
    </row>
    <row r="4" spans="1:17" ht="67.5" customHeight="1">
      <c r="A4" s="50" t="s">
        <v>12</v>
      </c>
      <c r="B4" s="1" t="s">
        <v>274</v>
      </c>
      <c r="C4" s="1" t="s">
        <v>263</v>
      </c>
      <c r="D4" s="1" t="s">
        <v>998</v>
      </c>
      <c r="E4" s="1" t="s">
        <v>999</v>
      </c>
      <c r="F4" s="2" t="s">
        <v>275</v>
      </c>
      <c r="G4" s="7"/>
      <c r="H4" s="1"/>
      <c r="I4" s="1" t="s">
        <v>276</v>
      </c>
      <c r="J4" s="1" t="s">
        <v>267</v>
      </c>
      <c r="K4" s="1" t="s">
        <v>275</v>
      </c>
      <c r="L4" s="3" t="s">
        <v>282</v>
      </c>
      <c r="M4" s="1" t="s">
        <v>278</v>
      </c>
      <c r="N4" s="1" t="s">
        <v>283</v>
      </c>
      <c r="O4" s="1" t="s">
        <v>284</v>
      </c>
      <c r="P4" s="1" t="s">
        <v>279</v>
      </c>
      <c r="Q4" s="4" t="s">
        <v>285</v>
      </c>
    </row>
    <row r="5" spans="1:17" ht="67.5" customHeight="1">
      <c r="A5" s="50" t="s">
        <v>12</v>
      </c>
      <c r="B5" s="1" t="s">
        <v>286</v>
      </c>
      <c r="C5" s="1" t="s">
        <v>287</v>
      </c>
      <c r="D5" s="1" t="s">
        <v>1000</v>
      </c>
      <c r="E5" s="1" t="s">
        <v>1001</v>
      </c>
      <c r="F5" s="2" t="s">
        <v>288</v>
      </c>
      <c r="G5" s="7"/>
      <c r="H5" s="1"/>
      <c r="I5" s="1" t="s">
        <v>289</v>
      </c>
      <c r="J5" s="1" t="s">
        <v>267</v>
      </c>
      <c r="K5" s="1" t="s">
        <v>290</v>
      </c>
      <c r="L5" s="3" t="s">
        <v>291</v>
      </c>
      <c r="M5" s="1" t="s">
        <v>292</v>
      </c>
      <c r="N5" s="1" t="s">
        <v>271</v>
      </c>
      <c r="O5" s="1" t="s">
        <v>272</v>
      </c>
      <c r="P5" s="1" t="s">
        <v>273</v>
      </c>
      <c r="Q5" s="4" t="s">
        <v>280</v>
      </c>
    </row>
    <row r="6" spans="1:17" ht="67.5" customHeight="1">
      <c r="A6" s="50" t="s">
        <v>12</v>
      </c>
      <c r="B6" s="1" t="s">
        <v>274</v>
      </c>
      <c r="C6" s="1" t="s">
        <v>287</v>
      </c>
      <c r="D6" s="1" t="s">
        <v>1002</v>
      </c>
      <c r="E6" s="1" t="s">
        <v>1003</v>
      </c>
      <c r="F6" s="2" t="s">
        <v>275</v>
      </c>
      <c r="G6" s="7"/>
      <c r="H6" s="1"/>
      <c r="I6" s="1" t="s">
        <v>276</v>
      </c>
      <c r="J6" s="1" t="s">
        <v>267</v>
      </c>
      <c r="K6" s="1" t="s">
        <v>275</v>
      </c>
      <c r="L6" s="3" t="s">
        <v>294</v>
      </c>
      <c r="M6" s="1" t="s">
        <v>278</v>
      </c>
      <c r="N6" s="1" t="s">
        <v>271</v>
      </c>
      <c r="O6" s="1" t="s">
        <v>272</v>
      </c>
      <c r="P6" s="1" t="s">
        <v>279</v>
      </c>
      <c r="Q6" s="4" t="s">
        <v>280</v>
      </c>
    </row>
    <row r="7" spans="1:17" ht="67.5" customHeight="1">
      <c r="A7" s="50" t="s">
        <v>12</v>
      </c>
      <c r="B7" s="1" t="s">
        <v>262</v>
      </c>
      <c r="C7" s="1" t="s">
        <v>295</v>
      </c>
      <c r="D7" s="1" t="s">
        <v>1004</v>
      </c>
      <c r="E7" s="1" t="s">
        <v>296</v>
      </c>
      <c r="F7" s="2" t="s">
        <v>264</v>
      </c>
      <c r="G7" s="7">
        <v>156288</v>
      </c>
      <c r="H7" s="1" t="s">
        <v>297</v>
      </c>
      <c r="I7" s="1" t="s">
        <v>266</v>
      </c>
      <c r="J7" s="1" t="s">
        <v>298</v>
      </c>
      <c r="K7" s="1" t="s">
        <v>268</v>
      </c>
      <c r="L7" s="3" t="s">
        <v>299</v>
      </c>
      <c r="M7" s="1" t="s">
        <v>300</v>
      </c>
      <c r="N7" s="1" t="s">
        <v>301</v>
      </c>
      <c r="O7" s="1" t="s">
        <v>302</v>
      </c>
      <c r="P7" s="1" t="s">
        <v>273</v>
      </c>
      <c r="Q7" s="4" t="s">
        <v>280</v>
      </c>
    </row>
    <row r="8" spans="1:17" ht="67.5" customHeight="1">
      <c r="A8" s="50" t="s">
        <v>12</v>
      </c>
      <c r="B8" s="1" t="s">
        <v>262</v>
      </c>
      <c r="C8" s="1" t="s">
        <v>295</v>
      </c>
      <c r="D8" s="1" t="s">
        <v>281</v>
      </c>
      <c r="E8" s="1" t="s">
        <v>1005</v>
      </c>
      <c r="F8" s="2" t="s">
        <v>288</v>
      </c>
      <c r="G8" s="7">
        <v>1961</v>
      </c>
      <c r="H8" s="1" t="s">
        <v>303</v>
      </c>
      <c r="I8" s="1" t="s">
        <v>266</v>
      </c>
      <c r="J8" s="1" t="s">
        <v>304</v>
      </c>
      <c r="K8" s="1" t="s">
        <v>268</v>
      </c>
      <c r="L8" s="3" t="s">
        <v>305</v>
      </c>
      <c r="M8" s="1" t="s">
        <v>306</v>
      </c>
      <c r="N8" s="1" t="s">
        <v>307</v>
      </c>
      <c r="O8" s="1" t="s">
        <v>308</v>
      </c>
      <c r="P8" s="1" t="s">
        <v>273</v>
      </c>
      <c r="Q8" s="4" t="s">
        <v>280</v>
      </c>
    </row>
    <row r="9" spans="1:17" ht="67.5" customHeight="1">
      <c r="A9" s="50" t="s">
        <v>12</v>
      </c>
      <c r="B9" s="1" t="s">
        <v>262</v>
      </c>
      <c r="C9" s="1" t="s">
        <v>295</v>
      </c>
      <c r="D9" s="1" t="s">
        <v>293</v>
      </c>
      <c r="E9" s="1" t="s">
        <v>1006</v>
      </c>
      <c r="F9" s="2" t="s">
        <v>288</v>
      </c>
      <c r="G9" s="7">
        <v>4200</v>
      </c>
      <c r="H9" s="1" t="s">
        <v>309</v>
      </c>
      <c r="I9" s="1" t="s">
        <v>266</v>
      </c>
      <c r="J9" s="1" t="s">
        <v>267</v>
      </c>
      <c r="K9" s="1" t="s">
        <v>268</v>
      </c>
      <c r="L9" s="3" t="s">
        <v>310</v>
      </c>
      <c r="M9" s="1" t="s">
        <v>270</v>
      </c>
      <c r="N9" s="1" t="s">
        <v>311</v>
      </c>
      <c r="O9" s="1" t="s">
        <v>272</v>
      </c>
      <c r="P9" s="1" t="s">
        <v>273</v>
      </c>
      <c r="Q9" s="4" t="s">
        <v>280</v>
      </c>
    </row>
    <row r="10" spans="1:17" ht="67.5" customHeight="1">
      <c r="A10" s="50" t="s">
        <v>12</v>
      </c>
      <c r="B10" s="1" t="s">
        <v>274</v>
      </c>
      <c r="C10" s="1" t="s">
        <v>295</v>
      </c>
      <c r="D10" s="1" t="s">
        <v>1007</v>
      </c>
      <c r="E10" s="1" t="s">
        <v>1008</v>
      </c>
      <c r="F10" s="2" t="s">
        <v>275</v>
      </c>
      <c r="G10" s="7"/>
      <c r="H10" s="1"/>
      <c r="I10" s="1" t="s">
        <v>276</v>
      </c>
      <c r="J10" s="1" t="s">
        <v>267</v>
      </c>
      <c r="K10" s="1" t="s">
        <v>275</v>
      </c>
      <c r="L10" s="3" t="s">
        <v>312</v>
      </c>
      <c r="M10" s="1" t="s">
        <v>278</v>
      </c>
      <c r="N10" s="1" t="s">
        <v>313</v>
      </c>
      <c r="O10" s="1" t="s">
        <v>272</v>
      </c>
      <c r="P10" s="1" t="s">
        <v>279</v>
      </c>
      <c r="Q10" s="4" t="s">
        <v>280</v>
      </c>
    </row>
    <row r="11" spans="1:17" ht="67.5" customHeight="1">
      <c r="A11" s="50" t="s">
        <v>12</v>
      </c>
      <c r="B11" s="1" t="s">
        <v>262</v>
      </c>
      <c r="C11" s="1" t="s">
        <v>314</v>
      </c>
      <c r="D11" s="1" t="s">
        <v>1009</v>
      </c>
      <c r="E11" s="1" t="s">
        <v>1010</v>
      </c>
      <c r="F11" s="2" t="s">
        <v>264</v>
      </c>
      <c r="G11" s="7">
        <v>13849</v>
      </c>
      <c r="H11" s="1" t="s">
        <v>309</v>
      </c>
      <c r="I11" s="1" t="s">
        <v>266</v>
      </c>
      <c r="J11" s="1" t="s">
        <v>315</v>
      </c>
      <c r="K11" s="1" t="s">
        <v>268</v>
      </c>
      <c r="L11" s="3" t="s">
        <v>316</v>
      </c>
      <c r="M11" s="1" t="s">
        <v>317</v>
      </c>
      <c r="N11" s="1" t="s">
        <v>318</v>
      </c>
      <c r="O11" s="1" t="s">
        <v>302</v>
      </c>
      <c r="P11" s="1" t="s">
        <v>273</v>
      </c>
      <c r="Q11" s="4" t="s">
        <v>280</v>
      </c>
    </row>
    <row r="12" spans="1:17" ht="67.5" customHeight="1">
      <c r="A12" s="50" t="s">
        <v>12</v>
      </c>
      <c r="B12" s="1" t="s">
        <v>286</v>
      </c>
      <c r="C12" s="1" t="s">
        <v>314</v>
      </c>
      <c r="D12" s="1" t="s">
        <v>1011</v>
      </c>
      <c r="E12" s="1" t="s">
        <v>1012</v>
      </c>
      <c r="F12" s="2" t="s">
        <v>288</v>
      </c>
      <c r="G12" s="7"/>
      <c r="H12" s="1"/>
      <c r="I12" s="1" t="s">
        <v>289</v>
      </c>
      <c r="J12" s="1" t="s">
        <v>267</v>
      </c>
      <c r="K12" s="1" t="s">
        <v>290</v>
      </c>
      <c r="L12" s="3" t="s">
        <v>319</v>
      </c>
      <c r="M12" s="1" t="s">
        <v>278</v>
      </c>
      <c r="N12" s="1" t="s">
        <v>320</v>
      </c>
      <c r="O12" s="1" t="s">
        <v>272</v>
      </c>
      <c r="P12" s="1" t="s">
        <v>273</v>
      </c>
      <c r="Q12" s="4" t="s">
        <v>280</v>
      </c>
    </row>
    <row r="13" spans="1:17" ht="67.5" customHeight="1">
      <c r="A13" s="50" t="s">
        <v>12</v>
      </c>
      <c r="B13" s="1" t="s">
        <v>274</v>
      </c>
      <c r="C13" s="1" t="s">
        <v>314</v>
      </c>
      <c r="D13" s="1" t="s">
        <v>1013</v>
      </c>
      <c r="E13" s="1" t="s">
        <v>1014</v>
      </c>
      <c r="F13" s="2" t="s">
        <v>275</v>
      </c>
      <c r="G13" s="7"/>
      <c r="H13" s="1"/>
      <c r="I13" s="1" t="s">
        <v>276</v>
      </c>
      <c r="J13" s="1" t="s">
        <v>267</v>
      </c>
      <c r="K13" s="1" t="s">
        <v>275</v>
      </c>
      <c r="L13" s="3" t="s">
        <v>321</v>
      </c>
      <c r="M13" s="1" t="s">
        <v>278</v>
      </c>
      <c r="N13" s="1" t="s">
        <v>320</v>
      </c>
      <c r="O13" s="1" t="s">
        <v>272</v>
      </c>
      <c r="P13" s="1" t="s">
        <v>279</v>
      </c>
      <c r="Q13" s="4" t="s">
        <v>280</v>
      </c>
    </row>
    <row r="14" spans="1:17" ht="67.5" customHeight="1">
      <c r="A14" s="50" t="s">
        <v>12</v>
      </c>
      <c r="B14" s="1" t="s">
        <v>322</v>
      </c>
      <c r="C14" s="1" t="s">
        <v>323</v>
      </c>
      <c r="D14" s="1" t="s">
        <v>1015</v>
      </c>
      <c r="E14" s="1" t="s">
        <v>1016</v>
      </c>
      <c r="F14" s="2" t="s">
        <v>264</v>
      </c>
      <c r="G14" s="7">
        <v>211</v>
      </c>
      <c r="H14" s="1" t="s">
        <v>324</v>
      </c>
      <c r="I14" s="1" t="s">
        <v>266</v>
      </c>
      <c r="J14" s="1" t="s">
        <v>325</v>
      </c>
      <c r="K14" s="1" t="s">
        <v>326</v>
      </c>
      <c r="L14" s="3" t="s">
        <v>327</v>
      </c>
      <c r="M14" s="1" t="s">
        <v>328</v>
      </c>
      <c r="N14" s="1" t="s">
        <v>329</v>
      </c>
      <c r="O14" s="1" t="s">
        <v>330</v>
      </c>
      <c r="P14" s="1" t="s">
        <v>273</v>
      </c>
      <c r="Q14" s="4" t="s">
        <v>280</v>
      </c>
    </row>
    <row r="15" spans="1:17" ht="67.5" customHeight="1">
      <c r="A15" s="50" t="s">
        <v>12</v>
      </c>
      <c r="B15" s="1" t="s">
        <v>262</v>
      </c>
      <c r="C15" s="1" t="s">
        <v>323</v>
      </c>
      <c r="D15" s="1" t="s">
        <v>1017</v>
      </c>
      <c r="E15" s="1" t="s">
        <v>1018</v>
      </c>
      <c r="F15" s="2" t="s">
        <v>264</v>
      </c>
      <c r="G15" s="7">
        <v>200</v>
      </c>
      <c r="H15" s="1" t="s">
        <v>331</v>
      </c>
      <c r="I15" s="1" t="s">
        <v>266</v>
      </c>
      <c r="J15" s="1" t="s">
        <v>304</v>
      </c>
      <c r="K15" s="1" t="s">
        <v>268</v>
      </c>
      <c r="L15" s="3" t="s">
        <v>332</v>
      </c>
      <c r="M15" s="1" t="s">
        <v>333</v>
      </c>
      <c r="N15" s="1" t="s">
        <v>334</v>
      </c>
      <c r="O15" s="1" t="s">
        <v>330</v>
      </c>
      <c r="P15" s="1" t="s">
        <v>273</v>
      </c>
      <c r="Q15" s="4" t="s">
        <v>280</v>
      </c>
    </row>
    <row r="16" spans="1:17" ht="67.5" customHeight="1">
      <c r="A16" s="50" t="s">
        <v>12</v>
      </c>
      <c r="B16" s="1" t="s">
        <v>322</v>
      </c>
      <c r="C16" s="1" t="s">
        <v>323</v>
      </c>
      <c r="D16" s="1" t="s">
        <v>1019</v>
      </c>
      <c r="E16" s="1" t="s">
        <v>335</v>
      </c>
      <c r="F16" s="2" t="s">
        <v>264</v>
      </c>
      <c r="G16" s="7">
        <v>211</v>
      </c>
      <c r="H16" s="1" t="s">
        <v>324</v>
      </c>
      <c r="I16" s="1" t="s">
        <v>336</v>
      </c>
      <c r="J16" s="1" t="s">
        <v>325</v>
      </c>
      <c r="K16" s="1" t="s">
        <v>326</v>
      </c>
      <c r="L16" s="3" t="s">
        <v>337</v>
      </c>
      <c r="M16" s="1" t="s">
        <v>278</v>
      </c>
      <c r="N16" s="1" t="s">
        <v>338</v>
      </c>
      <c r="O16" s="1" t="s">
        <v>339</v>
      </c>
      <c r="P16" s="1" t="s">
        <v>340</v>
      </c>
      <c r="Q16" s="4" t="s">
        <v>341</v>
      </c>
    </row>
    <row r="17" spans="1:17" ht="67.5" customHeight="1">
      <c r="A17" s="50" t="s">
        <v>12</v>
      </c>
      <c r="B17" s="1" t="s">
        <v>342</v>
      </c>
      <c r="C17" s="1" t="s">
        <v>323</v>
      </c>
      <c r="D17" s="1" t="s">
        <v>1020</v>
      </c>
      <c r="E17" s="1" t="s">
        <v>343</v>
      </c>
      <c r="F17" s="2" t="s">
        <v>288</v>
      </c>
      <c r="G17" s="7">
        <v>300</v>
      </c>
      <c r="H17" s="1" t="s">
        <v>344</v>
      </c>
      <c r="I17" s="1" t="s">
        <v>336</v>
      </c>
      <c r="J17" s="1" t="s">
        <v>345</v>
      </c>
      <c r="K17" s="1" t="s">
        <v>268</v>
      </c>
      <c r="L17" s="3" t="s">
        <v>346</v>
      </c>
      <c r="M17" s="1" t="s">
        <v>278</v>
      </c>
      <c r="N17" s="1" t="s">
        <v>347</v>
      </c>
      <c r="O17" s="1" t="s">
        <v>339</v>
      </c>
      <c r="P17" s="1" t="s">
        <v>340</v>
      </c>
      <c r="Q17" s="4" t="s">
        <v>348</v>
      </c>
    </row>
    <row r="18" spans="1:17" ht="67.5" customHeight="1">
      <c r="A18" s="50" t="s">
        <v>12</v>
      </c>
      <c r="B18" s="1" t="s">
        <v>349</v>
      </c>
      <c r="C18" s="1" t="s">
        <v>323</v>
      </c>
      <c r="D18" s="1" t="s">
        <v>1021</v>
      </c>
      <c r="E18" s="1" t="s">
        <v>1022</v>
      </c>
      <c r="F18" s="2" t="s">
        <v>288</v>
      </c>
      <c r="G18" s="7">
        <v>150</v>
      </c>
      <c r="H18" s="1" t="s">
        <v>351</v>
      </c>
      <c r="I18" s="1" t="s">
        <v>266</v>
      </c>
      <c r="J18" s="1" t="s">
        <v>345</v>
      </c>
      <c r="K18" s="1" t="s">
        <v>268</v>
      </c>
      <c r="L18" s="3" t="s">
        <v>352</v>
      </c>
      <c r="M18" s="1" t="s">
        <v>278</v>
      </c>
      <c r="N18" s="1" t="s">
        <v>347</v>
      </c>
      <c r="O18" s="1" t="s">
        <v>339</v>
      </c>
      <c r="P18" s="1" t="s">
        <v>273</v>
      </c>
      <c r="Q18" s="4" t="s">
        <v>280</v>
      </c>
    </row>
    <row r="19" spans="1:17" ht="67.5" customHeight="1">
      <c r="A19" s="50" t="s">
        <v>12</v>
      </c>
      <c r="B19" s="1" t="s">
        <v>262</v>
      </c>
      <c r="C19" s="1" t="s">
        <v>323</v>
      </c>
      <c r="D19" s="1" t="s">
        <v>1023</v>
      </c>
      <c r="E19" s="1" t="s">
        <v>1024</v>
      </c>
      <c r="F19" s="2" t="s">
        <v>288</v>
      </c>
      <c r="G19" s="7">
        <v>14700</v>
      </c>
      <c r="H19" s="1" t="s">
        <v>353</v>
      </c>
      <c r="I19" s="1" t="s">
        <v>266</v>
      </c>
      <c r="J19" s="1" t="s">
        <v>354</v>
      </c>
      <c r="K19" s="1" t="s">
        <v>268</v>
      </c>
      <c r="L19" s="3" t="s">
        <v>355</v>
      </c>
      <c r="M19" s="1" t="s">
        <v>356</v>
      </c>
      <c r="N19" s="1" t="s">
        <v>357</v>
      </c>
      <c r="O19" s="1" t="s">
        <v>302</v>
      </c>
      <c r="P19" s="1" t="s">
        <v>273</v>
      </c>
      <c r="Q19" s="4" t="s">
        <v>280</v>
      </c>
    </row>
    <row r="20" spans="1:17" ht="67.5" customHeight="1">
      <c r="A20" s="50" t="s">
        <v>12</v>
      </c>
      <c r="B20" s="1" t="s">
        <v>262</v>
      </c>
      <c r="C20" s="1" t="s">
        <v>323</v>
      </c>
      <c r="D20" s="1" t="s">
        <v>1025</v>
      </c>
      <c r="E20" s="1" t="s">
        <v>1026</v>
      </c>
      <c r="F20" s="2" t="s">
        <v>288</v>
      </c>
      <c r="G20" s="7">
        <v>1</v>
      </c>
      <c r="H20" s="1" t="s">
        <v>358</v>
      </c>
      <c r="I20" s="1" t="s">
        <v>266</v>
      </c>
      <c r="J20" s="1" t="s">
        <v>345</v>
      </c>
      <c r="K20" s="1" t="s">
        <v>326</v>
      </c>
      <c r="L20" s="3" t="s">
        <v>359</v>
      </c>
      <c r="M20" s="1" t="s">
        <v>360</v>
      </c>
      <c r="N20" s="1" t="s">
        <v>361</v>
      </c>
      <c r="O20" s="1" t="s">
        <v>339</v>
      </c>
      <c r="P20" s="1" t="s">
        <v>273</v>
      </c>
      <c r="Q20" s="4" t="s">
        <v>280</v>
      </c>
    </row>
    <row r="21" spans="1:17" ht="67.5" customHeight="1">
      <c r="A21" s="50" t="s">
        <v>12</v>
      </c>
      <c r="B21" s="1" t="s">
        <v>322</v>
      </c>
      <c r="C21" s="1" t="s">
        <v>323</v>
      </c>
      <c r="D21" s="1" t="s">
        <v>1027</v>
      </c>
      <c r="E21" s="1" t="s">
        <v>362</v>
      </c>
      <c r="F21" s="2" t="s">
        <v>363</v>
      </c>
      <c r="G21" s="7"/>
      <c r="H21" s="1"/>
      <c r="I21" s="1" t="s">
        <v>336</v>
      </c>
      <c r="J21" s="1" t="s">
        <v>345</v>
      </c>
      <c r="K21" s="1" t="s">
        <v>268</v>
      </c>
      <c r="L21" s="3" t="s">
        <v>364</v>
      </c>
      <c r="M21" s="1" t="s">
        <v>360</v>
      </c>
      <c r="N21" s="1" t="s">
        <v>365</v>
      </c>
      <c r="O21" s="1" t="s">
        <v>339</v>
      </c>
      <c r="P21" s="1" t="s">
        <v>340</v>
      </c>
      <c r="Q21" s="4" t="s">
        <v>348</v>
      </c>
    </row>
    <row r="22" spans="1:17" ht="67.5" customHeight="1">
      <c r="A22" s="50" t="s">
        <v>12</v>
      </c>
      <c r="B22" s="1" t="s">
        <v>262</v>
      </c>
      <c r="C22" s="1" t="s">
        <v>366</v>
      </c>
      <c r="D22" s="1" t="s">
        <v>1028</v>
      </c>
      <c r="E22" s="1" t="s">
        <v>1029</v>
      </c>
      <c r="F22" s="2" t="s">
        <v>264</v>
      </c>
      <c r="G22" s="7">
        <v>1000</v>
      </c>
      <c r="H22" s="1" t="s">
        <v>367</v>
      </c>
      <c r="I22" s="1" t="s">
        <v>266</v>
      </c>
      <c r="J22" s="1" t="s">
        <v>368</v>
      </c>
      <c r="K22" s="1" t="s">
        <v>268</v>
      </c>
      <c r="L22" s="3" t="s">
        <v>369</v>
      </c>
      <c r="M22" s="1" t="s">
        <v>370</v>
      </c>
      <c r="N22" s="1" t="s">
        <v>371</v>
      </c>
      <c r="O22" s="1" t="s">
        <v>308</v>
      </c>
      <c r="P22" s="1" t="s">
        <v>273</v>
      </c>
      <c r="Q22" s="4" t="s">
        <v>280</v>
      </c>
    </row>
    <row r="23" spans="1:17" ht="67.5" customHeight="1">
      <c r="A23" s="50" t="s">
        <v>12</v>
      </c>
      <c r="B23" s="1" t="s">
        <v>372</v>
      </c>
      <c r="C23" s="1" t="s">
        <v>366</v>
      </c>
      <c r="D23" s="1" t="s">
        <v>1030</v>
      </c>
      <c r="E23" s="1" t="s">
        <v>1031</v>
      </c>
      <c r="F23" s="2" t="s">
        <v>264</v>
      </c>
      <c r="G23" s="7">
        <v>62</v>
      </c>
      <c r="H23" s="1" t="s">
        <v>374</v>
      </c>
      <c r="I23" s="1" t="s">
        <v>336</v>
      </c>
      <c r="J23" s="1" t="s">
        <v>375</v>
      </c>
      <c r="K23" s="1" t="s">
        <v>268</v>
      </c>
      <c r="L23" s="3" t="s">
        <v>376</v>
      </c>
      <c r="M23" s="1" t="s">
        <v>356</v>
      </c>
      <c r="N23" s="1" t="s">
        <v>377</v>
      </c>
      <c r="O23" s="1" t="s">
        <v>302</v>
      </c>
      <c r="P23" s="1" t="s">
        <v>340</v>
      </c>
      <c r="Q23" s="4" t="s">
        <v>378</v>
      </c>
    </row>
    <row r="24" spans="1:17" ht="67.5" customHeight="1">
      <c r="A24" s="50" t="s">
        <v>12</v>
      </c>
      <c r="B24" s="1" t="s">
        <v>262</v>
      </c>
      <c r="C24" s="1" t="s">
        <v>366</v>
      </c>
      <c r="D24" s="1" t="s">
        <v>350</v>
      </c>
      <c r="E24" s="1" t="s">
        <v>1032</v>
      </c>
      <c r="F24" s="2" t="s">
        <v>264</v>
      </c>
      <c r="G24" s="7">
        <v>200</v>
      </c>
      <c r="H24" s="1" t="s">
        <v>379</v>
      </c>
      <c r="I24" s="1" t="s">
        <v>266</v>
      </c>
      <c r="J24" s="1" t="s">
        <v>368</v>
      </c>
      <c r="K24" s="1" t="s">
        <v>268</v>
      </c>
      <c r="L24" s="3" t="s">
        <v>380</v>
      </c>
      <c r="M24" s="1" t="s">
        <v>370</v>
      </c>
      <c r="N24" s="1" t="s">
        <v>381</v>
      </c>
      <c r="O24" s="1" t="s">
        <v>308</v>
      </c>
      <c r="P24" s="1" t="s">
        <v>273</v>
      </c>
      <c r="Q24" s="4" t="s">
        <v>280</v>
      </c>
    </row>
    <row r="25" spans="1:17" ht="67.5" customHeight="1">
      <c r="A25" s="50" t="s">
        <v>12</v>
      </c>
      <c r="B25" s="1" t="s">
        <v>262</v>
      </c>
      <c r="C25" s="1" t="s">
        <v>366</v>
      </c>
      <c r="D25" s="1" t="s">
        <v>1033</v>
      </c>
      <c r="E25" s="1" t="s">
        <v>1034</v>
      </c>
      <c r="F25" s="2" t="s">
        <v>288</v>
      </c>
      <c r="G25" s="7">
        <v>457</v>
      </c>
      <c r="H25" s="1" t="s">
        <v>382</v>
      </c>
      <c r="I25" s="1" t="s">
        <v>266</v>
      </c>
      <c r="J25" s="1" t="s">
        <v>368</v>
      </c>
      <c r="K25" s="1" t="s">
        <v>268</v>
      </c>
      <c r="L25" s="3" t="s">
        <v>383</v>
      </c>
      <c r="M25" s="1" t="s">
        <v>370</v>
      </c>
      <c r="N25" s="1" t="s">
        <v>384</v>
      </c>
      <c r="O25" s="1" t="s">
        <v>308</v>
      </c>
      <c r="P25" s="1" t="s">
        <v>273</v>
      </c>
      <c r="Q25" s="4" t="s">
        <v>280</v>
      </c>
    </row>
    <row r="26" spans="1:17" ht="67.5" customHeight="1">
      <c r="A26" s="50" t="s">
        <v>12</v>
      </c>
      <c r="B26" s="1" t="s">
        <v>385</v>
      </c>
      <c r="C26" s="1" t="s">
        <v>366</v>
      </c>
      <c r="D26" s="1" t="s">
        <v>1035</v>
      </c>
      <c r="E26" s="1" t="s">
        <v>386</v>
      </c>
      <c r="F26" s="2" t="s">
        <v>288</v>
      </c>
      <c r="G26" s="7">
        <v>1330</v>
      </c>
      <c r="H26" s="1" t="s">
        <v>387</v>
      </c>
      <c r="I26" s="1" t="s">
        <v>266</v>
      </c>
      <c r="J26" s="1" t="s">
        <v>368</v>
      </c>
      <c r="K26" s="1" t="s">
        <v>268</v>
      </c>
      <c r="L26" s="3" t="s">
        <v>388</v>
      </c>
      <c r="M26" s="1" t="s">
        <v>389</v>
      </c>
      <c r="N26" s="1" t="s">
        <v>390</v>
      </c>
      <c r="O26" s="1" t="s">
        <v>308</v>
      </c>
      <c r="P26" s="1" t="s">
        <v>273</v>
      </c>
      <c r="Q26" s="4" t="s">
        <v>391</v>
      </c>
    </row>
    <row r="27" spans="1:17" ht="67.5" customHeight="1">
      <c r="A27" s="50" t="s">
        <v>12</v>
      </c>
      <c r="B27" s="1" t="s">
        <v>372</v>
      </c>
      <c r="C27" s="1" t="s">
        <v>366</v>
      </c>
      <c r="D27" s="1" t="s">
        <v>1036</v>
      </c>
      <c r="E27" s="1" t="s">
        <v>1037</v>
      </c>
      <c r="F27" s="2" t="s">
        <v>288</v>
      </c>
      <c r="G27" s="7">
        <v>26</v>
      </c>
      <c r="H27" s="1" t="s">
        <v>379</v>
      </c>
      <c r="I27" s="1" t="s">
        <v>336</v>
      </c>
      <c r="J27" s="1" t="s">
        <v>304</v>
      </c>
      <c r="K27" s="1" t="s">
        <v>268</v>
      </c>
      <c r="L27" s="3" t="s">
        <v>392</v>
      </c>
      <c r="M27" s="1" t="s">
        <v>393</v>
      </c>
      <c r="N27" s="1" t="s">
        <v>394</v>
      </c>
      <c r="O27" s="1" t="s">
        <v>308</v>
      </c>
      <c r="P27" s="1" t="s">
        <v>340</v>
      </c>
      <c r="Q27" s="4" t="s">
        <v>378</v>
      </c>
    </row>
    <row r="28" spans="1:17" ht="67.5" customHeight="1">
      <c r="A28" s="50" t="s">
        <v>12</v>
      </c>
      <c r="B28" s="1" t="s">
        <v>274</v>
      </c>
      <c r="C28" s="1" t="s">
        <v>366</v>
      </c>
      <c r="D28" s="1" t="s">
        <v>1038</v>
      </c>
      <c r="E28" s="1" t="s">
        <v>1039</v>
      </c>
      <c r="F28" s="2" t="s">
        <v>275</v>
      </c>
      <c r="G28" s="7"/>
      <c r="H28" s="1"/>
      <c r="I28" s="1" t="s">
        <v>276</v>
      </c>
      <c r="J28" s="1" t="s">
        <v>267</v>
      </c>
      <c r="K28" s="1" t="s">
        <v>275</v>
      </c>
      <c r="L28" s="3" t="s">
        <v>395</v>
      </c>
      <c r="M28" s="1" t="s">
        <v>370</v>
      </c>
      <c r="N28" s="1" t="s">
        <v>396</v>
      </c>
      <c r="O28" s="1" t="s">
        <v>284</v>
      </c>
      <c r="P28" s="1" t="s">
        <v>279</v>
      </c>
      <c r="Q28" s="4" t="s">
        <v>280</v>
      </c>
    </row>
    <row r="29" spans="1:17" ht="67.5" customHeight="1">
      <c r="A29" s="50" t="s">
        <v>12</v>
      </c>
      <c r="B29" s="1" t="s">
        <v>286</v>
      </c>
      <c r="C29" s="1" t="s">
        <v>397</v>
      </c>
      <c r="D29" s="1" t="s">
        <v>1040</v>
      </c>
      <c r="E29" s="1" t="s">
        <v>1041</v>
      </c>
      <c r="F29" s="2" t="s">
        <v>288</v>
      </c>
      <c r="G29" s="7"/>
      <c r="H29" s="1"/>
      <c r="I29" s="1" t="s">
        <v>289</v>
      </c>
      <c r="J29" s="1" t="s">
        <v>325</v>
      </c>
      <c r="K29" s="1" t="s">
        <v>290</v>
      </c>
      <c r="L29" s="3" t="s">
        <v>398</v>
      </c>
      <c r="M29" s="1" t="s">
        <v>399</v>
      </c>
      <c r="N29" s="1" t="s">
        <v>400</v>
      </c>
      <c r="O29" s="1" t="s">
        <v>401</v>
      </c>
      <c r="P29" s="1" t="s">
        <v>273</v>
      </c>
      <c r="Q29" s="4" t="s">
        <v>280</v>
      </c>
    </row>
    <row r="30" spans="1:17" ht="67.5" customHeight="1">
      <c r="A30" s="50" t="s">
        <v>12</v>
      </c>
      <c r="B30" s="1" t="s">
        <v>274</v>
      </c>
      <c r="C30" s="1" t="s">
        <v>397</v>
      </c>
      <c r="D30" s="1" t="s">
        <v>1042</v>
      </c>
      <c r="E30" s="1" t="s">
        <v>1043</v>
      </c>
      <c r="F30" s="2" t="s">
        <v>275</v>
      </c>
      <c r="G30" s="7"/>
      <c r="H30" s="1"/>
      <c r="I30" s="1" t="s">
        <v>276</v>
      </c>
      <c r="J30" s="1" t="s">
        <v>402</v>
      </c>
      <c r="K30" s="1" t="s">
        <v>275</v>
      </c>
      <c r="L30" s="3" t="s">
        <v>403</v>
      </c>
      <c r="M30" s="1" t="s">
        <v>292</v>
      </c>
      <c r="N30" s="1" t="s">
        <v>404</v>
      </c>
      <c r="O30" s="1" t="s">
        <v>401</v>
      </c>
      <c r="P30" s="1" t="s">
        <v>279</v>
      </c>
      <c r="Q30" s="4" t="s">
        <v>280</v>
      </c>
    </row>
    <row r="31" spans="1:17" ht="67.5" customHeight="1">
      <c r="A31" s="50" t="s">
        <v>12</v>
      </c>
      <c r="B31" s="1" t="s">
        <v>372</v>
      </c>
      <c r="C31" s="1" t="s">
        <v>405</v>
      </c>
      <c r="D31" s="1" t="s">
        <v>373</v>
      </c>
      <c r="E31" s="1" t="s">
        <v>1044</v>
      </c>
      <c r="F31" s="2" t="s">
        <v>264</v>
      </c>
      <c r="G31" s="7">
        <v>117</v>
      </c>
      <c r="H31" s="1" t="s">
        <v>406</v>
      </c>
      <c r="I31" s="1" t="s">
        <v>336</v>
      </c>
      <c r="J31" s="1" t="s">
        <v>304</v>
      </c>
      <c r="K31" s="1" t="s">
        <v>268</v>
      </c>
      <c r="L31" s="3" t="s">
        <v>407</v>
      </c>
      <c r="M31" s="1" t="s">
        <v>408</v>
      </c>
      <c r="N31" s="1" t="s">
        <v>409</v>
      </c>
      <c r="O31" s="1" t="s">
        <v>401</v>
      </c>
      <c r="P31" s="1" t="s">
        <v>340</v>
      </c>
      <c r="Q31" s="4" t="s">
        <v>378</v>
      </c>
    </row>
    <row r="32" spans="1:17" ht="67.5" customHeight="1">
      <c r="A32" s="50" t="s">
        <v>12</v>
      </c>
      <c r="B32" s="1" t="s">
        <v>262</v>
      </c>
      <c r="C32" s="1" t="s">
        <v>405</v>
      </c>
      <c r="D32" s="1" t="s">
        <v>1045</v>
      </c>
      <c r="E32" s="1" t="s">
        <v>410</v>
      </c>
      <c r="F32" s="2" t="s">
        <v>264</v>
      </c>
      <c r="G32" s="7">
        <v>457</v>
      </c>
      <c r="H32" s="1" t="s">
        <v>411</v>
      </c>
      <c r="I32" s="1" t="s">
        <v>336</v>
      </c>
      <c r="J32" s="1" t="s">
        <v>304</v>
      </c>
      <c r="K32" s="1" t="s">
        <v>268</v>
      </c>
      <c r="L32" s="3" t="s">
        <v>412</v>
      </c>
      <c r="M32" s="1" t="s">
        <v>413</v>
      </c>
      <c r="N32" s="1" t="s">
        <v>409</v>
      </c>
      <c r="O32" s="1" t="s">
        <v>401</v>
      </c>
      <c r="P32" s="1" t="s">
        <v>340</v>
      </c>
      <c r="Q32" s="4" t="s">
        <v>341</v>
      </c>
    </row>
    <row r="33" spans="1:17" ht="67.5" customHeight="1">
      <c r="A33" s="50" t="s">
        <v>12</v>
      </c>
      <c r="B33" s="1" t="s">
        <v>372</v>
      </c>
      <c r="C33" s="1" t="s">
        <v>405</v>
      </c>
      <c r="D33" s="1" t="s">
        <v>1046</v>
      </c>
      <c r="E33" s="1" t="s">
        <v>1047</v>
      </c>
      <c r="F33" s="2" t="s">
        <v>288</v>
      </c>
      <c r="G33" s="7">
        <v>97</v>
      </c>
      <c r="H33" s="1" t="s">
        <v>406</v>
      </c>
      <c r="I33" s="1" t="s">
        <v>336</v>
      </c>
      <c r="J33" s="1" t="s">
        <v>304</v>
      </c>
      <c r="K33" s="1" t="s">
        <v>268</v>
      </c>
      <c r="L33" s="3" t="s">
        <v>414</v>
      </c>
      <c r="M33" s="1" t="s">
        <v>408</v>
      </c>
      <c r="N33" s="1" t="s">
        <v>415</v>
      </c>
      <c r="O33" s="1" t="s">
        <v>401</v>
      </c>
      <c r="P33" s="1" t="s">
        <v>340</v>
      </c>
      <c r="Q33" s="4" t="s">
        <v>378</v>
      </c>
    </row>
    <row r="34" spans="1:17" ht="67.5" customHeight="1">
      <c r="A34" s="50" t="s">
        <v>23</v>
      </c>
      <c r="B34" s="1" t="s">
        <v>416</v>
      </c>
      <c r="C34" s="1" t="s">
        <v>263</v>
      </c>
      <c r="D34" s="1" t="s">
        <v>1048</v>
      </c>
      <c r="E34" s="1" t="s">
        <v>1049</v>
      </c>
      <c r="F34" s="2" t="s">
        <v>288</v>
      </c>
      <c r="G34" s="7"/>
      <c r="H34" s="1"/>
      <c r="I34" s="1" t="s">
        <v>289</v>
      </c>
      <c r="J34" s="1" t="s">
        <v>267</v>
      </c>
      <c r="K34" s="1" t="s">
        <v>290</v>
      </c>
      <c r="L34" s="3" t="s">
        <v>417</v>
      </c>
      <c r="M34" s="1" t="s">
        <v>270</v>
      </c>
      <c r="N34" s="1" t="s">
        <v>271</v>
      </c>
      <c r="O34" s="1" t="s">
        <v>272</v>
      </c>
      <c r="P34" s="1" t="s">
        <v>418</v>
      </c>
      <c r="Q34" s="4" t="s">
        <v>419</v>
      </c>
    </row>
    <row r="35" spans="1:17" ht="67.5" customHeight="1">
      <c r="A35" s="50" t="s">
        <v>23</v>
      </c>
      <c r="B35" s="1" t="s">
        <v>416</v>
      </c>
      <c r="C35" s="1" t="s">
        <v>287</v>
      </c>
      <c r="D35" s="1" t="s">
        <v>1050</v>
      </c>
      <c r="E35" s="1" t="s">
        <v>420</v>
      </c>
      <c r="F35" s="2" t="s">
        <v>264</v>
      </c>
      <c r="G35" s="7"/>
      <c r="H35" s="1"/>
      <c r="I35" s="1" t="s">
        <v>289</v>
      </c>
      <c r="J35" s="1" t="s">
        <v>421</v>
      </c>
      <c r="K35" s="1" t="s">
        <v>290</v>
      </c>
      <c r="L35" s="3" t="s">
        <v>422</v>
      </c>
      <c r="M35" s="1" t="s">
        <v>423</v>
      </c>
      <c r="N35" s="1" t="s">
        <v>424</v>
      </c>
      <c r="O35" s="1" t="s">
        <v>302</v>
      </c>
      <c r="P35" s="1" t="s">
        <v>418</v>
      </c>
      <c r="Q35" s="4" t="s">
        <v>419</v>
      </c>
    </row>
    <row r="36" spans="1:17" ht="67.5" customHeight="1">
      <c r="A36" s="50" t="s">
        <v>23</v>
      </c>
      <c r="B36" s="1" t="s">
        <v>425</v>
      </c>
      <c r="C36" s="1" t="s">
        <v>287</v>
      </c>
      <c r="D36" s="1" t="s">
        <v>1051</v>
      </c>
      <c r="E36" s="1" t="s">
        <v>1052</v>
      </c>
      <c r="F36" s="2" t="s">
        <v>288</v>
      </c>
      <c r="G36" s="7"/>
      <c r="H36" s="1"/>
      <c r="I36" s="1" t="s">
        <v>426</v>
      </c>
      <c r="J36" s="1" t="s">
        <v>298</v>
      </c>
      <c r="K36" s="1" t="s">
        <v>290</v>
      </c>
      <c r="L36" s="3" t="s">
        <v>427</v>
      </c>
      <c r="M36" s="1" t="s">
        <v>270</v>
      </c>
      <c r="N36" s="1" t="s">
        <v>428</v>
      </c>
      <c r="O36" s="1" t="s">
        <v>272</v>
      </c>
      <c r="P36" s="1" t="s">
        <v>429</v>
      </c>
      <c r="Q36" s="4" t="s">
        <v>430</v>
      </c>
    </row>
    <row r="37" spans="1:17" ht="67.5" customHeight="1">
      <c r="A37" s="50" t="s">
        <v>23</v>
      </c>
      <c r="B37" s="1" t="s">
        <v>416</v>
      </c>
      <c r="C37" s="1" t="s">
        <v>295</v>
      </c>
      <c r="D37" s="1" t="s">
        <v>1053</v>
      </c>
      <c r="E37" s="1" t="s">
        <v>1054</v>
      </c>
      <c r="F37" s="2" t="s">
        <v>264</v>
      </c>
      <c r="G37" s="7"/>
      <c r="H37" s="1"/>
      <c r="I37" s="1" t="s">
        <v>289</v>
      </c>
      <c r="J37" s="1" t="s">
        <v>298</v>
      </c>
      <c r="K37" s="1" t="s">
        <v>290</v>
      </c>
      <c r="L37" s="3" t="s">
        <v>431</v>
      </c>
      <c r="M37" s="1" t="s">
        <v>423</v>
      </c>
      <c r="N37" s="1" t="s">
        <v>432</v>
      </c>
      <c r="O37" s="1" t="s">
        <v>302</v>
      </c>
      <c r="P37" s="1" t="s">
        <v>418</v>
      </c>
      <c r="Q37" s="4" t="s">
        <v>419</v>
      </c>
    </row>
    <row r="38" spans="1:17" ht="67.5" customHeight="1">
      <c r="A38" s="50" t="s">
        <v>23</v>
      </c>
      <c r="B38" s="1" t="s">
        <v>416</v>
      </c>
      <c r="C38" s="1" t="s">
        <v>314</v>
      </c>
      <c r="D38" s="1" t="s">
        <v>1055</v>
      </c>
      <c r="E38" s="1" t="s">
        <v>1056</v>
      </c>
      <c r="F38" s="2" t="s">
        <v>264</v>
      </c>
      <c r="G38" s="7"/>
      <c r="H38" s="1"/>
      <c r="I38" s="1" t="s">
        <v>289</v>
      </c>
      <c r="J38" s="1" t="s">
        <v>315</v>
      </c>
      <c r="K38" s="1" t="s">
        <v>290</v>
      </c>
      <c r="L38" s="3" t="s">
        <v>433</v>
      </c>
      <c r="M38" s="1" t="s">
        <v>434</v>
      </c>
      <c r="N38" s="1" t="s">
        <v>320</v>
      </c>
      <c r="O38" s="1" t="s">
        <v>302</v>
      </c>
      <c r="P38" s="1" t="s">
        <v>418</v>
      </c>
      <c r="Q38" s="4" t="s">
        <v>419</v>
      </c>
    </row>
    <row r="39" spans="1:17" ht="67.5" customHeight="1">
      <c r="A39" s="50" t="s">
        <v>23</v>
      </c>
      <c r="B39" s="1" t="s">
        <v>286</v>
      </c>
      <c r="C39" s="1" t="s">
        <v>323</v>
      </c>
      <c r="D39" s="1" t="s">
        <v>1057</v>
      </c>
      <c r="E39" s="1" t="s">
        <v>1058</v>
      </c>
      <c r="F39" s="2" t="s">
        <v>264</v>
      </c>
      <c r="G39" s="7">
        <v>5</v>
      </c>
      <c r="H39" s="1" t="s">
        <v>436</v>
      </c>
      <c r="I39" s="1" t="s">
        <v>266</v>
      </c>
      <c r="J39" s="1" t="s">
        <v>298</v>
      </c>
      <c r="K39" s="1" t="s">
        <v>268</v>
      </c>
      <c r="L39" s="3" t="s">
        <v>437</v>
      </c>
      <c r="M39" s="1" t="s">
        <v>317</v>
      </c>
      <c r="N39" s="1" t="s">
        <v>438</v>
      </c>
      <c r="O39" s="1" t="s">
        <v>302</v>
      </c>
      <c r="P39" s="1" t="s">
        <v>439</v>
      </c>
      <c r="Q39" s="4" t="s">
        <v>440</v>
      </c>
    </row>
    <row r="40" spans="1:17" ht="67.5" customHeight="1">
      <c r="A40" s="50" t="s">
        <v>23</v>
      </c>
      <c r="B40" s="1" t="s">
        <v>286</v>
      </c>
      <c r="C40" s="1" t="s">
        <v>323</v>
      </c>
      <c r="D40" s="1" t="s">
        <v>1059</v>
      </c>
      <c r="E40" s="1" t="s">
        <v>1060</v>
      </c>
      <c r="F40" s="2" t="s">
        <v>363</v>
      </c>
      <c r="G40" s="7">
        <v>1500</v>
      </c>
      <c r="H40" s="1" t="s">
        <v>441</v>
      </c>
      <c r="I40" s="1" t="s">
        <v>266</v>
      </c>
      <c r="J40" s="1" t="s">
        <v>442</v>
      </c>
      <c r="K40" s="1" t="s">
        <v>443</v>
      </c>
      <c r="L40" s="3" t="s">
        <v>444</v>
      </c>
      <c r="M40" s="1" t="s">
        <v>445</v>
      </c>
      <c r="N40" s="1" t="s">
        <v>446</v>
      </c>
      <c r="O40" s="1" t="s">
        <v>447</v>
      </c>
      <c r="P40" s="1" t="s">
        <v>448</v>
      </c>
      <c r="Q40" s="4" t="s">
        <v>449</v>
      </c>
    </row>
    <row r="41" spans="1:17" ht="67.5" customHeight="1">
      <c r="A41" s="50" t="s">
        <v>23</v>
      </c>
      <c r="B41" s="1" t="s">
        <v>416</v>
      </c>
      <c r="C41" s="1" t="s">
        <v>366</v>
      </c>
      <c r="D41" s="1" t="s">
        <v>1061</v>
      </c>
      <c r="E41" s="1" t="s">
        <v>1062</v>
      </c>
      <c r="F41" s="2" t="s">
        <v>264</v>
      </c>
      <c r="G41" s="7"/>
      <c r="H41" s="1"/>
      <c r="I41" s="1" t="s">
        <v>289</v>
      </c>
      <c r="J41" s="1" t="s">
        <v>375</v>
      </c>
      <c r="K41" s="1" t="s">
        <v>290</v>
      </c>
      <c r="L41" s="3" t="s">
        <v>450</v>
      </c>
      <c r="M41" s="1" t="s">
        <v>451</v>
      </c>
      <c r="N41" s="1" t="s">
        <v>452</v>
      </c>
      <c r="O41" s="1" t="s">
        <v>302</v>
      </c>
      <c r="P41" s="1" t="s">
        <v>453</v>
      </c>
      <c r="Q41" s="4" t="s">
        <v>454</v>
      </c>
    </row>
    <row r="42" spans="1:17" ht="67.5" customHeight="1">
      <c r="A42" s="50" t="s">
        <v>23</v>
      </c>
      <c r="B42" s="1" t="s">
        <v>286</v>
      </c>
      <c r="C42" s="1" t="s">
        <v>366</v>
      </c>
      <c r="D42" s="1" t="s">
        <v>1063</v>
      </c>
      <c r="E42" s="1" t="s">
        <v>1064</v>
      </c>
      <c r="F42" s="2" t="s">
        <v>288</v>
      </c>
      <c r="G42" s="7"/>
      <c r="H42" s="1"/>
      <c r="I42" s="1" t="s">
        <v>289</v>
      </c>
      <c r="J42" s="1" t="s">
        <v>368</v>
      </c>
      <c r="K42" s="1" t="s">
        <v>290</v>
      </c>
      <c r="L42" s="3" t="s">
        <v>455</v>
      </c>
      <c r="M42" s="1" t="s">
        <v>456</v>
      </c>
      <c r="N42" s="1" t="s">
        <v>457</v>
      </c>
      <c r="O42" s="1" t="s">
        <v>308</v>
      </c>
      <c r="P42" s="1" t="s">
        <v>458</v>
      </c>
      <c r="Q42" s="4" t="s">
        <v>459</v>
      </c>
    </row>
    <row r="43" spans="1:17" ht="67.5" customHeight="1">
      <c r="A43" s="50" t="s">
        <v>23</v>
      </c>
      <c r="B43" s="1" t="s">
        <v>416</v>
      </c>
      <c r="C43" s="1" t="s">
        <v>397</v>
      </c>
      <c r="D43" s="1" t="s">
        <v>1065</v>
      </c>
      <c r="E43" s="1" t="s">
        <v>1066</v>
      </c>
      <c r="F43" s="2" t="s">
        <v>288</v>
      </c>
      <c r="G43" s="7"/>
      <c r="H43" s="1"/>
      <c r="I43" s="1" t="s">
        <v>289</v>
      </c>
      <c r="J43" s="1" t="s">
        <v>325</v>
      </c>
      <c r="K43" s="1" t="s">
        <v>290</v>
      </c>
      <c r="L43" s="3" t="s">
        <v>460</v>
      </c>
      <c r="M43" s="1" t="s">
        <v>399</v>
      </c>
      <c r="N43" s="1" t="s">
        <v>461</v>
      </c>
      <c r="O43" s="1" t="s">
        <v>401</v>
      </c>
      <c r="P43" s="1" t="s">
        <v>453</v>
      </c>
      <c r="Q43" s="4" t="s">
        <v>454</v>
      </c>
    </row>
    <row r="44" spans="1:17" ht="67.5" customHeight="1">
      <c r="A44" s="50" t="s">
        <v>23</v>
      </c>
      <c r="B44" s="1" t="s">
        <v>462</v>
      </c>
      <c r="C44" s="1" t="s">
        <v>405</v>
      </c>
      <c r="D44" s="1" t="s">
        <v>1067</v>
      </c>
      <c r="E44" s="1" t="s">
        <v>1068</v>
      </c>
      <c r="F44" s="2" t="s">
        <v>264</v>
      </c>
      <c r="G44" s="7">
        <v>6500</v>
      </c>
      <c r="H44" s="1" t="s">
        <v>463</v>
      </c>
      <c r="I44" s="1" t="s">
        <v>336</v>
      </c>
      <c r="J44" s="1" t="s">
        <v>304</v>
      </c>
      <c r="K44" s="1" t="s">
        <v>268</v>
      </c>
      <c r="L44" s="3" t="s">
        <v>464</v>
      </c>
      <c r="M44" s="1" t="s">
        <v>413</v>
      </c>
      <c r="N44" s="1" t="s">
        <v>465</v>
      </c>
      <c r="O44" s="1" t="s">
        <v>401</v>
      </c>
      <c r="P44" s="1" t="s">
        <v>429</v>
      </c>
      <c r="Q44" s="4" t="s">
        <v>430</v>
      </c>
    </row>
    <row r="45" spans="1:17" ht="67.5" customHeight="1">
      <c r="A45" s="50" t="s">
        <v>23</v>
      </c>
      <c r="B45" s="1" t="s">
        <v>286</v>
      </c>
      <c r="C45" s="1" t="s">
        <v>405</v>
      </c>
      <c r="D45" s="1" t="s">
        <v>1069</v>
      </c>
      <c r="E45" s="1" t="s">
        <v>1070</v>
      </c>
      <c r="F45" s="2" t="s">
        <v>264</v>
      </c>
      <c r="G45" s="7"/>
      <c r="H45" s="1"/>
      <c r="I45" s="1" t="s">
        <v>289</v>
      </c>
      <c r="J45" s="1" t="s">
        <v>304</v>
      </c>
      <c r="K45" s="1" t="s">
        <v>290</v>
      </c>
      <c r="L45" s="3" t="s">
        <v>466</v>
      </c>
      <c r="M45" s="1" t="s">
        <v>408</v>
      </c>
      <c r="N45" s="1" t="s">
        <v>465</v>
      </c>
      <c r="O45" s="1" t="s">
        <v>401</v>
      </c>
      <c r="P45" s="1" t="s">
        <v>439</v>
      </c>
      <c r="Q45" s="4" t="s">
        <v>440</v>
      </c>
    </row>
    <row r="46" spans="1:17" ht="67.5" customHeight="1">
      <c r="A46" s="50" t="s">
        <v>34</v>
      </c>
      <c r="B46" s="1" t="s">
        <v>274</v>
      </c>
      <c r="C46" s="1" t="s">
        <v>263</v>
      </c>
      <c r="D46" s="1" t="s">
        <v>1071</v>
      </c>
      <c r="E46" s="1" t="s">
        <v>1072</v>
      </c>
      <c r="F46" s="2" t="s">
        <v>275</v>
      </c>
      <c r="G46" s="7"/>
      <c r="H46" s="1"/>
      <c r="I46" s="1" t="s">
        <v>276</v>
      </c>
      <c r="J46" s="1" t="s">
        <v>267</v>
      </c>
      <c r="K46" s="1" t="s">
        <v>275</v>
      </c>
      <c r="L46" s="3" t="s">
        <v>467</v>
      </c>
      <c r="M46" s="1" t="s">
        <v>278</v>
      </c>
      <c r="N46" s="1" t="s">
        <v>271</v>
      </c>
      <c r="O46" s="1" t="s">
        <v>284</v>
      </c>
      <c r="P46" s="1" t="s">
        <v>279</v>
      </c>
      <c r="Q46" s="4" t="s">
        <v>468</v>
      </c>
    </row>
    <row r="47" spans="1:17" ht="67.5" customHeight="1">
      <c r="A47" s="50" t="s">
        <v>34</v>
      </c>
      <c r="B47" s="1" t="s">
        <v>274</v>
      </c>
      <c r="C47" s="1" t="s">
        <v>287</v>
      </c>
      <c r="D47" s="1" t="s">
        <v>1073</v>
      </c>
      <c r="E47" s="1" t="s">
        <v>1074</v>
      </c>
      <c r="F47" s="2" t="s">
        <v>275</v>
      </c>
      <c r="G47" s="7"/>
      <c r="H47" s="1"/>
      <c r="I47" s="1" t="s">
        <v>276</v>
      </c>
      <c r="J47" s="1" t="s">
        <v>267</v>
      </c>
      <c r="K47" s="1" t="s">
        <v>275</v>
      </c>
      <c r="L47" s="3" t="s">
        <v>469</v>
      </c>
      <c r="M47" s="1" t="s">
        <v>278</v>
      </c>
      <c r="N47" s="1" t="s">
        <v>271</v>
      </c>
      <c r="O47" s="1" t="s">
        <v>284</v>
      </c>
      <c r="P47" s="1" t="s">
        <v>470</v>
      </c>
      <c r="Q47" s="4" t="s">
        <v>468</v>
      </c>
    </row>
    <row r="48" spans="1:17" ht="67.5" customHeight="1">
      <c r="A48" s="50" t="s">
        <v>34</v>
      </c>
      <c r="B48" s="1" t="s">
        <v>471</v>
      </c>
      <c r="C48" s="1" t="s">
        <v>287</v>
      </c>
      <c r="D48" s="1" t="s">
        <v>1075</v>
      </c>
      <c r="E48" s="1" t="s">
        <v>1076</v>
      </c>
      <c r="F48" s="2" t="s">
        <v>363</v>
      </c>
      <c r="G48" s="7">
        <v>141185</v>
      </c>
      <c r="H48" s="1" t="s">
        <v>472</v>
      </c>
      <c r="I48" s="1" t="s">
        <v>266</v>
      </c>
      <c r="J48" s="1" t="s">
        <v>267</v>
      </c>
      <c r="K48" s="1" t="s">
        <v>268</v>
      </c>
      <c r="L48" s="3" t="s">
        <v>473</v>
      </c>
      <c r="M48" s="1" t="s">
        <v>300</v>
      </c>
      <c r="N48" s="1" t="s">
        <v>271</v>
      </c>
      <c r="O48" s="1" t="s">
        <v>302</v>
      </c>
      <c r="P48" s="1" t="s">
        <v>474</v>
      </c>
      <c r="Q48" s="4" t="s">
        <v>475</v>
      </c>
    </row>
    <row r="49" spans="1:17" ht="67.5" customHeight="1">
      <c r="A49" s="50" t="s">
        <v>34</v>
      </c>
      <c r="B49" s="1" t="s">
        <v>274</v>
      </c>
      <c r="C49" s="1" t="s">
        <v>295</v>
      </c>
      <c r="D49" s="1" t="s">
        <v>1077</v>
      </c>
      <c r="E49" s="1" t="s">
        <v>1078</v>
      </c>
      <c r="F49" s="2" t="s">
        <v>275</v>
      </c>
      <c r="G49" s="7"/>
      <c r="H49" s="1"/>
      <c r="I49" s="1" t="s">
        <v>276</v>
      </c>
      <c r="J49" s="1" t="s">
        <v>267</v>
      </c>
      <c r="K49" s="1" t="s">
        <v>275</v>
      </c>
      <c r="L49" s="3" t="s">
        <v>476</v>
      </c>
      <c r="M49" s="1" t="s">
        <v>278</v>
      </c>
      <c r="N49" s="1" t="s">
        <v>477</v>
      </c>
      <c r="O49" s="1" t="s">
        <v>284</v>
      </c>
      <c r="P49" s="1" t="s">
        <v>470</v>
      </c>
      <c r="Q49" s="4" t="s">
        <v>468</v>
      </c>
    </row>
    <row r="50" spans="1:17" ht="67.5" customHeight="1">
      <c r="A50" s="50" t="s">
        <v>34</v>
      </c>
      <c r="B50" s="1" t="s">
        <v>471</v>
      </c>
      <c r="C50" s="1" t="s">
        <v>295</v>
      </c>
      <c r="D50" s="1" t="s">
        <v>1079</v>
      </c>
      <c r="E50" s="1" t="s">
        <v>1080</v>
      </c>
      <c r="F50" s="2" t="s">
        <v>363</v>
      </c>
      <c r="G50" s="7">
        <v>445627</v>
      </c>
      <c r="H50" s="1" t="s">
        <v>478</v>
      </c>
      <c r="I50" s="1" t="s">
        <v>266</v>
      </c>
      <c r="J50" s="1" t="s">
        <v>298</v>
      </c>
      <c r="K50" s="1" t="s">
        <v>268</v>
      </c>
      <c r="L50" s="3" t="s">
        <v>479</v>
      </c>
      <c r="M50" s="1" t="s">
        <v>300</v>
      </c>
      <c r="N50" s="1" t="s">
        <v>480</v>
      </c>
      <c r="O50" s="1" t="s">
        <v>302</v>
      </c>
      <c r="P50" s="1" t="s">
        <v>474</v>
      </c>
      <c r="Q50" s="4" t="s">
        <v>475</v>
      </c>
    </row>
    <row r="51" spans="1:17" ht="67.5" customHeight="1">
      <c r="A51" s="50" t="s">
        <v>34</v>
      </c>
      <c r="B51" s="1" t="s">
        <v>274</v>
      </c>
      <c r="C51" s="1" t="s">
        <v>314</v>
      </c>
      <c r="D51" s="1" t="s">
        <v>1081</v>
      </c>
      <c r="E51" s="1" t="s">
        <v>1082</v>
      </c>
      <c r="F51" s="2" t="s">
        <v>275</v>
      </c>
      <c r="G51" s="7"/>
      <c r="H51" s="1"/>
      <c r="I51" s="1" t="s">
        <v>276</v>
      </c>
      <c r="J51" s="1" t="s">
        <v>267</v>
      </c>
      <c r="K51" s="1" t="s">
        <v>275</v>
      </c>
      <c r="L51" s="3" t="s">
        <v>481</v>
      </c>
      <c r="M51" s="1" t="s">
        <v>278</v>
      </c>
      <c r="N51" s="1" t="s">
        <v>320</v>
      </c>
      <c r="O51" s="1" t="s">
        <v>284</v>
      </c>
      <c r="P51" s="1" t="s">
        <v>470</v>
      </c>
      <c r="Q51" s="4" t="s">
        <v>468</v>
      </c>
    </row>
    <row r="52" spans="1:17" ht="67.5" customHeight="1">
      <c r="A52" s="50" t="s">
        <v>34</v>
      </c>
      <c r="B52" s="1" t="s">
        <v>286</v>
      </c>
      <c r="C52" s="1" t="s">
        <v>323</v>
      </c>
      <c r="D52" s="1" t="s">
        <v>1083</v>
      </c>
      <c r="E52" s="1" t="s">
        <v>1084</v>
      </c>
      <c r="F52" s="2" t="s">
        <v>264</v>
      </c>
      <c r="G52" s="7">
        <v>15</v>
      </c>
      <c r="H52" s="1" t="s">
        <v>482</v>
      </c>
      <c r="I52" s="1" t="s">
        <v>266</v>
      </c>
      <c r="J52" s="1" t="s">
        <v>304</v>
      </c>
      <c r="K52" s="1" t="s">
        <v>483</v>
      </c>
      <c r="L52" s="3" t="s">
        <v>484</v>
      </c>
      <c r="M52" s="1" t="s">
        <v>485</v>
      </c>
      <c r="N52" s="1" t="s">
        <v>465</v>
      </c>
      <c r="O52" s="1" t="s">
        <v>401</v>
      </c>
      <c r="P52" s="1" t="s">
        <v>486</v>
      </c>
      <c r="Q52" s="4" t="s">
        <v>487</v>
      </c>
    </row>
    <row r="53" spans="1:17" ht="67.5" customHeight="1">
      <c r="A53" s="50" t="s">
        <v>34</v>
      </c>
      <c r="B53" s="1" t="s">
        <v>286</v>
      </c>
      <c r="C53" s="1" t="s">
        <v>323</v>
      </c>
      <c r="D53" s="1" t="s">
        <v>1085</v>
      </c>
      <c r="E53" s="1" t="s">
        <v>1086</v>
      </c>
      <c r="F53" s="2" t="s">
        <v>288</v>
      </c>
      <c r="G53" s="7"/>
      <c r="H53" s="1"/>
      <c r="I53" s="1" t="s">
        <v>289</v>
      </c>
      <c r="J53" s="1" t="s">
        <v>304</v>
      </c>
      <c r="K53" s="1" t="s">
        <v>290</v>
      </c>
      <c r="L53" s="3" t="s">
        <v>488</v>
      </c>
      <c r="M53" s="1" t="s">
        <v>489</v>
      </c>
      <c r="N53" s="1" t="s">
        <v>490</v>
      </c>
      <c r="O53" s="1" t="s">
        <v>401</v>
      </c>
      <c r="P53" s="1" t="s">
        <v>491</v>
      </c>
      <c r="Q53" s="4" t="s">
        <v>492</v>
      </c>
    </row>
    <row r="54" spans="1:17" ht="67.5" customHeight="1">
      <c r="A54" s="50" t="s">
        <v>34</v>
      </c>
      <c r="B54" s="1" t="s">
        <v>493</v>
      </c>
      <c r="C54" s="1" t="s">
        <v>366</v>
      </c>
      <c r="D54" s="1" t="s">
        <v>435</v>
      </c>
      <c r="E54" s="1" t="s">
        <v>1087</v>
      </c>
      <c r="F54" s="2" t="s">
        <v>264</v>
      </c>
      <c r="G54" s="7"/>
      <c r="H54" s="1"/>
      <c r="I54" s="1" t="s">
        <v>289</v>
      </c>
      <c r="J54" s="1" t="s">
        <v>368</v>
      </c>
      <c r="K54" s="1" t="s">
        <v>290</v>
      </c>
      <c r="L54" s="3" t="s">
        <v>494</v>
      </c>
      <c r="M54" s="1" t="s">
        <v>495</v>
      </c>
      <c r="N54" s="1" t="s">
        <v>496</v>
      </c>
      <c r="O54" s="1" t="s">
        <v>308</v>
      </c>
      <c r="P54" s="1" t="s">
        <v>497</v>
      </c>
      <c r="Q54" s="4" t="s">
        <v>468</v>
      </c>
    </row>
    <row r="55" spans="1:17" ht="67.5" customHeight="1">
      <c r="A55" s="50" t="s">
        <v>34</v>
      </c>
      <c r="B55" s="1" t="s">
        <v>286</v>
      </c>
      <c r="C55" s="1" t="s">
        <v>366</v>
      </c>
      <c r="D55" s="1" t="s">
        <v>1088</v>
      </c>
      <c r="E55" s="1" t="s">
        <v>498</v>
      </c>
      <c r="F55" s="2" t="s">
        <v>264</v>
      </c>
      <c r="G55" s="7"/>
      <c r="H55" s="1"/>
      <c r="I55" s="1" t="s">
        <v>289</v>
      </c>
      <c r="J55" s="1" t="s">
        <v>368</v>
      </c>
      <c r="K55" s="1" t="s">
        <v>290</v>
      </c>
      <c r="L55" s="3" t="s">
        <v>499</v>
      </c>
      <c r="M55" s="1" t="s">
        <v>495</v>
      </c>
      <c r="N55" s="1" t="s">
        <v>500</v>
      </c>
      <c r="O55" s="1" t="s">
        <v>308</v>
      </c>
      <c r="P55" s="1" t="s">
        <v>497</v>
      </c>
      <c r="Q55" s="4" t="s">
        <v>468</v>
      </c>
    </row>
    <row r="56" spans="1:17" ht="67.5" customHeight="1">
      <c r="A56" s="50" t="s">
        <v>34</v>
      </c>
      <c r="B56" s="1" t="s">
        <v>493</v>
      </c>
      <c r="C56" s="1" t="s">
        <v>366</v>
      </c>
      <c r="D56" s="1" t="s">
        <v>1089</v>
      </c>
      <c r="E56" s="1" t="s">
        <v>1090</v>
      </c>
      <c r="F56" s="2" t="s">
        <v>288</v>
      </c>
      <c r="G56" s="7"/>
      <c r="H56" s="1"/>
      <c r="I56" s="1" t="s">
        <v>289</v>
      </c>
      <c r="J56" s="1" t="s">
        <v>368</v>
      </c>
      <c r="K56" s="1" t="s">
        <v>290</v>
      </c>
      <c r="L56" s="3" t="s">
        <v>501</v>
      </c>
      <c r="M56" s="1" t="s">
        <v>389</v>
      </c>
      <c r="N56" s="1" t="s">
        <v>390</v>
      </c>
      <c r="O56" s="1" t="s">
        <v>308</v>
      </c>
      <c r="P56" s="1" t="s">
        <v>497</v>
      </c>
      <c r="Q56" s="4" t="s">
        <v>468</v>
      </c>
    </row>
    <row r="57" spans="1:17" ht="67.5" customHeight="1">
      <c r="A57" s="50" t="s">
        <v>34</v>
      </c>
      <c r="B57" s="1" t="s">
        <v>286</v>
      </c>
      <c r="C57" s="1" t="s">
        <v>397</v>
      </c>
      <c r="D57" s="1" t="s">
        <v>1091</v>
      </c>
      <c r="E57" s="1" t="s">
        <v>502</v>
      </c>
      <c r="F57" s="2" t="s">
        <v>264</v>
      </c>
      <c r="G57" s="7"/>
      <c r="H57" s="1"/>
      <c r="I57" s="1" t="s">
        <v>289</v>
      </c>
      <c r="J57" s="1" t="s">
        <v>304</v>
      </c>
      <c r="K57" s="1" t="s">
        <v>290</v>
      </c>
      <c r="L57" s="3" t="s">
        <v>503</v>
      </c>
      <c r="M57" s="1" t="s">
        <v>504</v>
      </c>
      <c r="N57" s="1" t="s">
        <v>505</v>
      </c>
      <c r="O57" s="1" t="s">
        <v>401</v>
      </c>
      <c r="P57" s="1" t="s">
        <v>491</v>
      </c>
      <c r="Q57" s="4" t="s">
        <v>492</v>
      </c>
    </row>
    <row r="58" spans="1:17" ht="67.5" customHeight="1">
      <c r="A58" s="50" t="s">
        <v>34</v>
      </c>
      <c r="B58" s="1" t="s">
        <v>286</v>
      </c>
      <c r="C58" s="1" t="s">
        <v>405</v>
      </c>
      <c r="D58" s="1" t="s">
        <v>1092</v>
      </c>
      <c r="E58" s="1" t="s">
        <v>1093</v>
      </c>
      <c r="F58" s="2" t="s">
        <v>264</v>
      </c>
      <c r="G58" s="7"/>
      <c r="H58" s="1"/>
      <c r="I58" s="1" t="s">
        <v>289</v>
      </c>
      <c r="J58" s="1" t="s">
        <v>304</v>
      </c>
      <c r="K58" s="1" t="s">
        <v>290</v>
      </c>
      <c r="L58" s="3" t="s">
        <v>506</v>
      </c>
      <c r="M58" s="1" t="s">
        <v>408</v>
      </c>
      <c r="N58" s="1" t="s">
        <v>507</v>
      </c>
      <c r="O58" s="1" t="s">
        <v>401</v>
      </c>
      <c r="P58" s="1" t="s">
        <v>491</v>
      </c>
      <c r="Q58" s="4" t="s">
        <v>492</v>
      </c>
    </row>
    <row r="59" spans="1:17" ht="67.5" customHeight="1">
      <c r="A59" s="50" t="s">
        <v>45</v>
      </c>
      <c r="B59" s="1" t="s">
        <v>286</v>
      </c>
      <c r="C59" s="1" t="s">
        <v>263</v>
      </c>
      <c r="D59" s="1" t="s">
        <v>1094</v>
      </c>
      <c r="E59" s="1" t="s">
        <v>1095</v>
      </c>
      <c r="F59" s="2" t="s">
        <v>264</v>
      </c>
      <c r="G59" s="7"/>
      <c r="H59" s="1"/>
      <c r="I59" s="1" t="s">
        <v>289</v>
      </c>
      <c r="J59" s="1" t="s">
        <v>267</v>
      </c>
      <c r="K59" s="1" t="s">
        <v>290</v>
      </c>
      <c r="L59" s="3" t="s">
        <v>508</v>
      </c>
      <c r="M59" s="1" t="s">
        <v>270</v>
      </c>
      <c r="N59" s="1" t="s">
        <v>509</v>
      </c>
      <c r="O59" s="1" t="s">
        <v>272</v>
      </c>
      <c r="P59" s="1" t="s">
        <v>510</v>
      </c>
      <c r="Q59" s="4" t="s">
        <v>511</v>
      </c>
    </row>
    <row r="60" spans="1:17" ht="67.5" customHeight="1">
      <c r="A60" s="50" t="s">
        <v>45</v>
      </c>
      <c r="B60" s="1" t="s">
        <v>286</v>
      </c>
      <c r="C60" s="1" t="s">
        <v>287</v>
      </c>
      <c r="D60" s="1" t="s">
        <v>1096</v>
      </c>
      <c r="E60" s="1" t="s">
        <v>1097</v>
      </c>
      <c r="F60" s="2" t="s">
        <v>264</v>
      </c>
      <c r="G60" s="7"/>
      <c r="H60" s="1"/>
      <c r="I60" s="1" t="s">
        <v>289</v>
      </c>
      <c r="J60" s="1" t="s">
        <v>267</v>
      </c>
      <c r="K60" s="1" t="s">
        <v>290</v>
      </c>
      <c r="L60" s="3" t="s">
        <v>512</v>
      </c>
      <c r="M60" s="1" t="s">
        <v>270</v>
      </c>
      <c r="N60" s="1" t="s">
        <v>513</v>
      </c>
      <c r="O60" s="1" t="s">
        <v>302</v>
      </c>
      <c r="P60" s="1" t="s">
        <v>514</v>
      </c>
      <c r="Q60" s="4" t="s">
        <v>511</v>
      </c>
    </row>
    <row r="61" spans="1:17" ht="67.5" customHeight="1">
      <c r="A61" s="50" t="s">
        <v>45</v>
      </c>
      <c r="B61" s="1" t="s">
        <v>286</v>
      </c>
      <c r="C61" s="1" t="s">
        <v>295</v>
      </c>
      <c r="D61" s="1" t="s">
        <v>1098</v>
      </c>
      <c r="E61" s="1" t="s">
        <v>1099</v>
      </c>
      <c r="F61" s="2" t="s">
        <v>264</v>
      </c>
      <c r="G61" s="7"/>
      <c r="H61" s="1"/>
      <c r="I61" s="1" t="s">
        <v>289</v>
      </c>
      <c r="J61" s="1" t="s">
        <v>267</v>
      </c>
      <c r="K61" s="1" t="s">
        <v>290</v>
      </c>
      <c r="L61" s="3" t="s">
        <v>515</v>
      </c>
      <c r="M61" s="1" t="s">
        <v>516</v>
      </c>
      <c r="N61" s="1" t="s">
        <v>517</v>
      </c>
      <c r="O61" s="1" t="s">
        <v>302</v>
      </c>
      <c r="P61" s="1" t="s">
        <v>518</v>
      </c>
      <c r="Q61" s="4" t="s">
        <v>519</v>
      </c>
    </row>
    <row r="62" spans="1:17" ht="67.5" customHeight="1">
      <c r="A62" s="50" t="s">
        <v>45</v>
      </c>
      <c r="B62" s="1" t="s">
        <v>425</v>
      </c>
      <c r="C62" s="1" t="s">
        <v>295</v>
      </c>
      <c r="D62" s="1" t="s">
        <v>1100</v>
      </c>
      <c r="E62" s="1" t="s">
        <v>1101</v>
      </c>
      <c r="F62" s="2" t="s">
        <v>264</v>
      </c>
      <c r="G62" s="7"/>
      <c r="H62" s="1"/>
      <c r="I62" s="1" t="s">
        <v>289</v>
      </c>
      <c r="J62" s="1" t="s">
        <v>298</v>
      </c>
      <c r="K62" s="1" t="s">
        <v>290</v>
      </c>
      <c r="L62" s="3" t="s">
        <v>520</v>
      </c>
      <c r="M62" s="1" t="s">
        <v>423</v>
      </c>
      <c r="N62" s="1" t="s">
        <v>521</v>
      </c>
      <c r="O62" s="1" t="s">
        <v>302</v>
      </c>
      <c r="P62" s="1" t="s">
        <v>522</v>
      </c>
      <c r="Q62" s="4" t="s">
        <v>511</v>
      </c>
    </row>
    <row r="63" spans="1:17" ht="67.5" customHeight="1">
      <c r="A63" s="50" t="s">
        <v>45</v>
      </c>
      <c r="B63" s="1" t="s">
        <v>286</v>
      </c>
      <c r="C63" s="1" t="s">
        <v>314</v>
      </c>
      <c r="D63" s="1" t="s">
        <v>1102</v>
      </c>
      <c r="E63" s="1" t="s">
        <v>1103</v>
      </c>
      <c r="F63" s="2" t="s">
        <v>264</v>
      </c>
      <c r="G63" s="7">
        <v>80</v>
      </c>
      <c r="H63" s="1" t="s">
        <v>523</v>
      </c>
      <c r="I63" s="1" t="s">
        <v>266</v>
      </c>
      <c r="J63" s="1" t="s">
        <v>315</v>
      </c>
      <c r="K63" s="1" t="s">
        <v>268</v>
      </c>
      <c r="L63" s="3" t="s">
        <v>524</v>
      </c>
      <c r="M63" s="1" t="s">
        <v>525</v>
      </c>
      <c r="N63" s="1" t="s">
        <v>526</v>
      </c>
      <c r="O63" s="1" t="s">
        <v>302</v>
      </c>
      <c r="P63" s="1" t="s">
        <v>522</v>
      </c>
      <c r="Q63" s="4" t="s">
        <v>511</v>
      </c>
    </row>
    <row r="64" spans="1:17" ht="67.5" customHeight="1">
      <c r="A64" s="50" t="s">
        <v>45</v>
      </c>
      <c r="B64" s="1" t="s">
        <v>274</v>
      </c>
      <c r="C64" s="1" t="s">
        <v>323</v>
      </c>
      <c r="D64" s="1" t="s">
        <v>1104</v>
      </c>
      <c r="E64" s="1" t="s">
        <v>1105</v>
      </c>
      <c r="F64" s="2" t="s">
        <v>275</v>
      </c>
      <c r="G64" s="7"/>
      <c r="H64" s="1"/>
      <c r="I64" s="1" t="s">
        <v>276</v>
      </c>
      <c r="J64" s="1" t="s">
        <v>345</v>
      </c>
      <c r="K64" s="1" t="s">
        <v>275</v>
      </c>
      <c r="L64" s="3" t="s">
        <v>527</v>
      </c>
      <c r="M64" s="1" t="s">
        <v>278</v>
      </c>
      <c r="N64" s="1" t="s">
        <v>528</v>
      </c>
      <c r="O64" s="1" t="s">
        <v>284</v>
      </c>
      <c r="P64" s="1" t="s">
        <v>279</v>
      </c>
      <c r="Q64" s="4" t="s">
        <v>529</v>
      </c>
    </row>
    <row r="65" spans="1:17" ht="67.5" customHeight="1">
      <c r="A65" s="50" t="s">
        <v>45</v>
      </c>
      <c r="B65" s="1" t="s">
        <v>425</v>
      </c>
      <c r="C65" s="1" t="s">
        <v>366</v>
      </c>
      <c r="D65" s="1" t="s">
        <v>1106</v>
      </c>
      <c r="E65" s="1" t="s">
        <v>1107</v>
      </c>
      <c r="F65" s="2" t="s">
        <v>264</v>
      </c>
      <c r="G65" s="7">
        <v>98</v>
      </c>
      <c r="H65" s="1" t="s">
        <v>530</v>
      </c>
      <c r="I65" s="1" t="s">
        <v>266</v>
      </c>
      <c r="J65" s="1" t="s">
        <v>375</v>
      </c>
      <c r="K65" s="1" t="s">
        <v>268</v>
      </c>
      <c r="L65" s="3" t="s">
        <v>531</v>
      </c>
      <c r="M65" s="1" t="s">
        <v>495</v>
      </c>
      <c r="N65" s="1" t="s">
        <v>532</v>
      </c>
      <c r="O65" s="1" t="s">
        <v>308</v>
      </c>
      <c r="P65" s="1" t="s">
        <v>522</v>
      </c>
      <c r="Q65" s="4" t="s">
        <v>511</v>
      </c>
    </row>
    <row r="66" spans="1:17" ht="67.5" customHeight="1">
      <c r="A66" s="50" t="s">
        <v>45</v>
      </c>
      <c r="B66" s="1" t="s">
        <v>286</v>
      </c>
      <c r="C66" s="1" t="s">
        <v>397</v>
      </c>
      <c r="D66" s="1" t="s">
        <v>1108</v>
      </c>
      <c r="E66" s="1" t="s">
        <v>1109</v>
      </c>
      <c r="F66" s="2" t="s">
        <v>264</v>
      </c>
      <c r="G66" s="7"/>
      <c r="H66" s="1"/>
      <c r="I66" s="1" t="s">
        <v>289</v>
      </c>
      <c r="J66" s="1" t="s">
        <v>325</v>
      </c>
      <c r="K66" s="1" t="s">
        <v>290</v>
      </c>
      <c r="L66" s="3" t="s">
        <v>533</v>
      </c>
      <c r="M66" s="1" t="s">
        <v>534</v>
      </c>
      <c r="N66" s="1" t="s">
        <v>535</v>
      </c>
      <c r="O66" s="1" t="s">
        <v>401</v>
      </c>
      <c r="P66" s="1" t="s">
        <v>518</v>
      </c>
      <c r="Q66" s="4" t="s">
        <v>519</v>
      </c>
    </row>
    <row r="67" spans="1:17" ht="67.5" customHeight="1">
      <c r="A67" s="50" t="s">
        <v>45</v>
      </c>
      <c r="B67" s="1" t="s">
        <v>286</v>
      </c>
      <c r="C67" s="1" t="s">
        <v>405</v>
      </c>
      <c r="D67" s="1" t="s">
        <v>1110</v>
      </c>
      <c r="E67" s="1" t="s">
        <v>1111</v>
      </c>
      <c r="F67" s="2" t="s">
        <v>264</v>
      </c>
      <c r="G67" s="7"/>
      <c r="H67" s="1"/>
      <c r="I67" s="1" t="s">
        <v>289</v>
      </c>
      <c r="J67" s="1" t="s">
        <v>304</v>
      </c>
      <c r="K67" s="1" t="s">
        <v>290</v>
      </c>
      <c r="L67" s="3" t="s">
        <v>536</v>
      </c>
      <c r="M67" s="1" t="s">
        <v>408</v>
      </c>
      <c r="N67" s="1" t="s">
        <v>537</v>
      </c>
      <c r="O67" s="1" t="s">
        <v>401</v>
      </c>
      <c r="P67" s="1" t="s">
        <v>518</v>
      </c>
      <c r="Q67" s="4" t="s">
        <v>519</v>
      </c>
    </row>
    <row r="68" spans="1:17" ht="67.5" customHeight="1">
      <c r="A68" s="50" t="s">
        <v>45</v>
      </c>
      <c r="B68" s="1" t="s">
        <v>425</v>
      </c>
      <c r="C68" s="1" t="s">
        <v>405</v>
      </c>
      <c r="D68" s="1" t="s">
        <v>1112</v>
      </c>
      <c r="E68" s="1" t="s">
        <v>1113</v>
      </c>
      <c r="F68" s="2" t="s">
        <v>288</v>
      </c>
      <c r="G68" s="7"/>
      <c r="H68" s="1"/>
      <c r="I68" s="1" t="s">
        <v>289</v>
      </c>
      <c r="J68" s="1" t="s">
        <v>304</v>
      </c>
      <c r="K68" s="1" t="s">
        <v>290</v>
      </c>
      <c r="L68" s="3" t="s">
        <v>538</v>
      </c>
      <c r="M68" s="1" t="s">
        <v>539</v>
      </c>
      <c r="N68" s="1" t="s">
        <v>540</v>
      </c>
      <c r="O68" s="1" t="s">
        <v>330</v>
      </c>
      <c r="P68" s="1" t="s">
        <v>522</v>
      </c>
      <c r="Q68" s="4" t="s">
        <v>511</v>
      </c>
    </row>
    <row r="69" spans="1:17" ht="67.5" customHeight="1">
      <c r="A69" s="50" t="s">
        <v>56</v>
      </c>
      <c r="B69" s="1" t="s">
        <v>541</v>
      </c>
      <c r="C69" s="1" t="s">
        <v>263</v>
      </c>
      <c r="D69" s="1" t="s">
        <v>1114</v>
      </c>
      <c r="E69" s="1" t="s">
        <v>1115</v>
      </c>
      <c r="F69" s="2" t="s">
        <v>264</v>
      </c>
      <c r="G69" s="7">
        <v>3</v>
      </c>
      <c r="H69" s="1" t="s">
        <v>542</v>
      </c>
      <c r="I69" s="1" t="s">
        <v>266</v>
      </c>
      <c r="J69" s="1" t="s">
        <v>267</v>
      </c>
      <c r="K69" s="1" t="s">
        <v>326</v>
      </c>
      <c r="L69" s="3" t="s">
        <v>543</v>
      </c>
      <c r="M69" s="1" t="s">
        <v>300</v>
      </c>
      <c r="N69" s="1" t="s">
        <v>544</v>
      </c>
      <c r="O69" s="1" t="s">
        <v>302</v>
      </c>
      <c r="P69" s="1" t="s">
        <v>545</v>
      </c>
      <c r="Q69" s="4" t="s">
        <v>546</v>
      </c>
    </row>
    <row r="70" spans="1:17" ht="67.5" customHeight="1">
      <c r="A70" s="50" t="s">
        <v>56</v>
      </c>
      <c r="B70" s="1" t="s">
        <v>286</v>
      </c>
      <c r="C70" s="1" t="s">
        <v>263</v>
      </c>
      <c r="D70" s="1" t="s">
        <v>1116</v>
      </c>
      <c r="E70" s="1" t="s">
        <v>1117</v>
      </c>
      <c r="F70" s="2" t="s">
        <v>264</v>
      </c>
      <c r="G70" s="7">
        <v>83.5</v>
      </c>
      <c r="H70" s="1" t="s">
        <v>547</v>
      </c>
      <c r="I70" s="1" t="s">
        <v>266</v>
      </c>
      <c r="J70" s="1" t="s">
        <v>267</v>
      </c>
      <c r="K70" s="1" t="s">
        <v>326</v>
      </c>
      <c r="L70" s="3" t="s">
        <v>548</v>
      </c>
      <c r="M70" s="1" t="s">
        <v>278</v>
      </c>
      <c r="N70" s="1" t="s">
        <v>271</v>
      </c>
      <c r="O70" s="1" t="s">
        <v>272</v>
      </c>
      <c r="P70" s="1" t="s">
        <v>549</v>
      </c>
      <c r="Q70" s="4" t="s">
        <v>550</v>
      </c>
    </row>
    <row r="71" spans="1:17" ht="67.5" customHeight="1">
      <c r="A71" s="50" t="s">
        <v>56</v>
      </c>
      <c r="B71" s="1" t="s">
        <v>286</v>
      </c>
      <c r="C71" s="1" t="s">
        <v>287</v>
      </c>
      <c r="D71" s="1" t="s">
        <v>1118</v>
      </c>
      <c r="E71" s="1" t="s">
        <v>1119</v>
      </c>
      <c r="F71" s="2" t="s">
        <v>264</v>
      </c>
      <c r="G71" s="7">
        <v>4539.37</v>
      </c>
      <c r="H71" s="1" t="s">
        <v>551</v>
      </c>
      <c r="I71" s="1" t="s">
        <v>266</v>
      </c>
      <c r="J71" s="1" t="s">
        <v>267</v>
      </c>
      <c r="K71" s="1" t="s">
        <v>326</v>
      </c>
      <c r="L71" s="3" t="s">
        <v>552</v>
      </c>
      <c r="M71" s="1" t="s">
        <v>278</v>
      </c>
      <c r="N71" s="1" t="s">
        <v>271</v>
      </c>
      <c r="O71" s="1" t="s">
        <v>272</v>
      </c>
      <c r="P71" s="1" t="s">
        <v>549</v>
      </c>
      <c r="Q71" s="4" t="s">
        <v>550</v>
      </c>
    </row>
    <row r="72" spans="1:17" ht="67.5" customHeight="1">
      <c r="A72" s="50" t="s">
        <v>56</v>
      </c>
      <c r="B72" s="1" t="s">
        <v>262</v>
      </c>
      <c r="C72" s="1" t="s">
        <v>295</v>
      </c>
      <c r="D72" s="1" t="s">
        <v>1004</v>
      </c>
      <c r="E72" s="1" t="s">
        <v>1120</v>
      </c>
      <c r="F72" s="2" t="s">
        <v>264</v>
      </c>
      <c r="G72" s="7">
        <v>81000</v>
      </c>
      <c r="H72" s="1" t="s">
        <v>553</v>
      </c>
      <c r="I72" s="1" t="s">
        <v>266</v>
      </c>
      <c r="J72" s="1" t="s">
        <v>298</v>
      </c>
      <c r="K72" s="1" t="s">
        <v>268</v>
      </c>
      <c r="L72" s="3" t="s">
        <v>554</v>
      </c>
      <c r="M72" s="1" t="s">
        <v>555</v>
      </c>
      <c r="N72" s="1" t="s">
        <v>556</v>
      </c>
      <c r="O72" s="1" t="s">
        <v>302</v>
      </c>
      <c r="P72" s="1" t="s">
        <v>557</v>
      </c>
      <c r="Q72" s="4" t="s">
        <v>558</v>
      </c>
    </row>
    <row r="73" spans="1:17" ht="67.5" customHeight="1">
      <c r="A73" s="50" t="s">
        <v>56</v>
      </c>
      <c r="B73" s="1" t="s">
        <v>286</v>
      </c>
      <c r="C73" s="1" t="s">
        <v>295</v>
      </c>
      <c r="D73" s="1" t="s">
        <v>1121</v>
      </c>
      <c r="E73" s="1" t="s">
        <v>1122</v>
      </c>
      <c r="F73" s="2" t="s">
        <v>288</v>
      </c>
      <c r="G73" s="7"/>
      <c r="H73" s="1"/>
      <c r="I73" s="1" t="s">
        <v>289</v>
      </c>
      <c r="J73" s="1" t="s">
        <v>298</v>
      </c>
      <c r="K73" s="1" t="s">
        <v>290</v>
      </c>
      <c r="L73" s="3" t="s">
        <v>559</v>
      </c>
      <c r="M73" s="1" t="s">
        <v>413</v>
      </c>
      <c r="N73" s="1" t="s">
        <v>560</v>
      </c>
      <c r="O73" s="1" t="s">
        <v>272</v>
      </c>
      <c r="P73" s="1" t="s">
        <v>549</v>
      </c>
      <c r="Q73" s="4" t="s">
        <v>550</v>
      </c>
    </row>
    <row r="74" spans="1:17" ht="67.5" customHeight="1">
      <c r="A74" s="50" t="s">
        <v>56</v>
      </c>
      <c r="B74" s="1" t="s">
        <v>286</v>
      </c>
      <c r="C74" s="1" t="s">
        <v>314</v>
      </c>
      <c r="D74" s="1" t="s">
        <v>1123</v>
      </c>
      <c r="E74" s="1" t="s">
        <v>1124</v>
      </c>
      <c r="F74" s="2" t="s">
        <v>288</v>
      </c>
      <c r="G74" s="7"/>
      <c r="H74" s="1"/>
      <c r="I74" s="1" t="s">
        <v>289</v>
      </c>
      <c r="J74" s="1" t="s">
        <v>315</v>
      </c>
      <c r="K74" s="1" t="s">
        <v>290</v>
      </c>
      <c r="L74" s="3" t="s">
        <v>561</v>
      </c>
      <c r="M74" s="1" t="s">
        <v>292</v>
      </c>
      <c r="N74" s="1" t="s">
        <v>562</v>
      </c>
      <c r="O74" s="1" t="s">
        <v>272</v>
      </c>
      <c r="P74" s="1" t="s">
        <v>563</v>
      </c>
      <c r="Q74" s="4" t="s">
        <v>564</v>
      </c>
    </row>
    <row r="75" spans="1:17" ht="67.5" customHeight="1">
      <c r="A75" s="50" t="s">
        <v>56</v>
      </c>
      <c r="B75" s="1" t="s">
        <v>541</v>
      </c>
      <c r="C75" s="1" t="s">
        <v>323</v>
      </c>
      <c r="D75" s="1" t="s">
        <v>1125</v>
      </c>
      <c r="E75" s="1" t="s">
        <v>1126</v>
      </c>
      <c r="F75" s="2" t="s">
        <v>288</v>
      </c>
      <c r="G75" s="7"/>
      <c r="H75" s="1"/>
      <c r="I75" s="1" t="s">
        <v>289</v>
      </c>
      <c r="J75" s="1" t="s">
        <v>267</v>
      </c>
      <c r="K75" s="1" t="s">
        <v>565</v>
      </c>
      <c r="L75" s="3" t="s">
        <v>566</v>
      </c>
      <c r="M75" s="1" t="s">
        <v>292</v>
      </c>
      <c r="N75" s="1" t="s">
        <v>567</v>
      </c>
      <c r="O75" s="1" t="s">
        <v>284</v>
      </c>
      <c r="P75" s="1" t="s">
        <v>545</v>
      </c>
      <c r="Q75" s="4" t="s">
        <v>546</v>
      </c>
    </row>
    <row r="76" spans="1:17" ht="67.5" customHeight="1">
      <c r="A76" s="50" t="s">
        <v>56</v>
      </c>
      <c r="B76" s="1" t="s">
        <v>541</v>
      </c>
      <c r="C76" s="1" t="s">
        <v>366</v>
      </c>
      <c r="D76" s="1" t="s">
        <v>1127</v>
      </c>
      <c r="E76" s="1" t="s">
        <v>1128</v>
      </c>
      <c r="F76" s="2" t="s">
        <v>264</v>
      </c>
      <c r="G76" s="7">
        <v>1000</v>
      </c>
      <c r="H76" s="1" t="s">
        <v>568</v>
      </c>
      <c r="I76" s="1" t="s">
        <v>266</v>
      </c>
      <c r="J76" s="1" t="s">
        <v>569</v>
      </c>
      <c r="K76" s="1" t="s">
        <v>268</v>
      </c>
      <c r="L76" s="3" t="s">
        <v>570</v>
      </c>
      <c r="M76" s="1" t="s">
        <v>571</v>
      </c>
      <c r="N76" s="1" t="s">
        <v>572</v>
      </c>
      <c r="O76" s="1" t="s">
        <v>308</v>
      </c>
      <c r="P76" s="1" t="s">
        <v>573</v>
      </c>
      <c r="Q76" s="4" t="s">
        <v>546</v>
      </c>
    </row>
    <row r="77" spans="1:17" ht="67.5" customHeight="1">
      <c r="A77" s="50" t="s">
        <v>56</v>
      </c>
      <c r="B77" s="1" t="s">
        <v>286</v>
      </c>
      <c r="C77" s="1" t="s">
        <v>397</v>
      </c>
      <c r="D77" s="1" t="s">
        <v>1129</v>
      </c>
      <c r="E77" s="1" t="s">
        <v>1130</v>
      </c>
      <c r="F77" s="2" t="s">
        <v>288</v>
      </c>
      <c r="G77" s="7"/>
      <c r="H77" s="1"/>
      <c r="I77" s="1" t="s">
        <v>289</v>
      </c>
      <c r="J77" s="1" t="s">
        <v>298</v>
      </c>
      <c r="K77" s="1" t="s">
        <v>290</v>
      </c>
      <c r="L77" s="3" t="s">
        <v>574</v>
      </c>
      <c r="M77" s="1" t="s">
        <v>575</v>
      </c>
      <c r="N77" s="1" t="s">
        <v>576</v>
      </c>
      <c r="O77" s="1" t="s">
        <v>401</v>
      </c>
      <c r="P77" s="1" t="s">
        <v>549</v>
      </c>
      <c r="Q77" s="4" t="s">
        <v>550</v>
      </c>
    </row>
    <row r="78" spans="1:17" ht="67.5" customHeight="1">
      <c r="A78" s="50" t="s">
        <v>56</v>
      </c>
      <c r="B78" s="1" t="s">
        <v>541</v>
      </c>
      <c r="C78" s="1" t="s">
        <v>405</v>
      </c>
      <c r="D78" s="1" t="s">
        <v>1131</v>
      </c>
      <c r="E78" s="1" t="s">
        <v>1132</v>
      </c>
      <c r="F78" s="2" t="s">
        <v>288</v>
      </c>
      <c r="G78" s="7"/>
      <c r="H78" s="1"/>
      <c r="I78" s="1" t="s">
        <v>289</v>
      </c>
      <c r="J78" s="1" t="s">
        <v>577</v>
      </c>
      <c r="K78" s="1" t="s">
        <v>290</v>
      </c>
      <c r="L78" s="3" t="s">
        <v>578</v>
      </c>
      <c r="M78" s="1" t="s">
        <v>333</v>
      </c>
      <c r="N78" s="1" t="s">
        <v>579</v>
      </c>
      <c r="O78" s="1" t="s">
        <v>401</v>
      </c>
      <c r="P78" s="1" t="s">
        <v>545</v>
      </c>
      <c r="Q78" s="4" t="s">
        <v>546</v>
      </c>
    </row>
    <row r="79" spans="1:17" ht="67.5" customHeight="1">
      <c r="A79" s="50" t="s">
        <v>67</v>
      </c>
      <c r="B79" s="1" t="s">
        <v>262</v>
      </c>
      <c r="C79" s="1" t="s">
        <v>263</v>
      </c>
      <c r="D79" s="1" t="s">
        <v>1133</v>
      </c>
      <c r="E79" s="1" t="s">
        <v>1134</v>
      </c>
      <c r="F79" s="2" t="s">
        <v>288</v>
      </c>
      <c r="G79" s="7"/>
      <c r="H79" s="1"/>
      <c r="I79" s="1" t="s">
        <v>289</v>
      </c>
      <c r="J79" s="1" t="s">
        <v>298</v>
      </c>
      <c r="K79" s="1" t="s">
        <v>290</v>
      </c>
      <c r="L79" s="3" t="s">
        <v>580</v>
      </c>
      <c r="M79" s="1" t="s">
        <v>270</v>
      </c>
      <c r="N79" s="1" t="s">
        <v>581</v>
      </c>
      <c r="O79" s="1" t="s">
        <v>302</v>
      </c>
      <c r="P79" s="1" t="s">
        <v>582</v>
      </c>
      <c r="Q79" s="4" t="s">
        <v>583</v>
      </c>
    </row>
    <row r="80" spans="1:17" ht="67.5" customHeight="1">
      <c r="A80" s="50" t="s">
        <v>67</v>
      </c>
      <c r="B80" s="1" t="s">
        <v>286</v>
      </c>
      <c r="C80" s="1" t="s">
        <v>287</v>
      </c>
      <c r="D80" s="1" t="s">
        <v>1135</v>
      </c>
      <c r="E80" s="1" t="s">
        <v>1136</v>
      </c>
      <c r="F80" s="2" t="s">
        <v>288</v>
      </c>
      <c r="G80" s="7"/>
      <c r="H80" s="1"/>
      <c r="I80" s="1" t="s">
        <v>289</v>
      </c>
      <c r="J80" s="1" t="s">
        <v>267</v>
      </c>
      <c r="K80" s="1" t="s">
        <v>290</v>
      </c>
      <c r="L80" s="3" t="s">
        <v>584</v>
      </c>
      <c r="M80" s="1" t="s">
        <v>270</v>
      </c>
      <c r="N80" s="1" t="s">
        <v>585</v>
      </c>
      <c r="O80" s="1" t="s">
        <v>302</v>
      </c>
      <c r="P80" s="1" t="s">
        <v>586</v>
      </c>
      <c r="Q80" s="4" t="s">
        <v>587</v>
      </c>
    </row>
    <row r="81" spans="1:17" ht="67.5" customHeight="1">
      <c r="A81" s="50" t="s">
        <v>67</v>
      </c>
      <c r="B81" s="1" t="s">
        <v>262</v>
      </c>
      <c r="C81" s="1" t="s">
        <v>295</v>
      </c>
      <c r="D81" s="1" t="s">
        <v>1137</v>
      </c>
      <c r="E81" s="1" t="s">
        <v>1138</v>
      </c>
      <c r="F81" s="2" t="s">
        <v>264</v>
      </c>
      <c r="G81" s="7">
        <v>97656</v>
      </c>
      <c r="H81" s="1" t="s">
        <v>588</v>
      </c>
      <c r="I81" s="1" t="s">
        <v>266</v>
      </c>
      <c r="J81" s="1" t="s">
        <v>298</v>
      </c>
      <c r="K81" s="1" t="s">
        <v>268</v>
      </c>
      <c r="L81" s="3" t="s">
        <v>589</v>
      </c>
      <c r="M81" s="1" t="s">
        <v>300</v>
      </c>
      <c r="N81" s="1" t="s">
        <v>556</v>
      </c>
      <c r="O81" s="1" t="s">
        <v>302</v>
      </c>
      <c r="P81" s="1" t="s">
        <v>586</v>
      </c>
      <c r="Q81" s="4" t="s">
        <v>587</v>
      </c>
    </row>
    <row r="82" spans="1:17" ht="67.5" customHeight="1">
      <c r="A82" s="50" t="s">
        <v>67</v>
      </c>
      <c r="B82" s="1" t="s">
        <v>262</v>
      </c>
      <c r="C82" s="1" t="s">
        <v>295</v>
      </c>
      <c r="D82" s="1" t="s">
        <v>1139</v>
      </c>
      <c r="E82" s="1" t="s">
        <v>1140</v>
      </c>
      <c r="F82" s="2" t="s">
        <v>288</v>
      </c>
      <c r="G82" s="7">
        <v>305</v>
      </c>
      <c r="H82" s="1" t="s">
        <v>590</v>
      </c>
      <c r="I82" s="1" t="s">
        <v>266</v>
      </c>
      <c r="J82" s="1" t="s">
        <v>591</v>
      </c>
      <c r="K82" s="1" t="s">
        <v>268</v>
      </c>
      <c r="L82" s="3" t="s">
        <v>592</v>
      </c>
      <c r="M82" s="1" t="s">
        <v>593</v>
      </c>
      <c r="N82" s="1" t="s">
        <v>594</v>
      </c>
      <c r="O82" s="1" t="s">
        <v>308</v>
      </c>
      <c r="P82" s="1" t="s">
        <v>586</v>
      </c>
      <c r="Q82" s="4" t="s">
        <v>587</v>
      </c>
    </row>
    <row r="83" spans="1:17" ht="67.5" customHeight="1">
      <c r="A83" s="50" t="s">
        <v>67</v>
      </c>
      <c r="B83" s="1" t="s">
        <v>262</v>
      </c>
      <c r="C83" s="1" t="s">
        <v>295</v>
      </c>
      <c r="D83" s="1" t="s">
        <v>1141</v>
      </c>
      <c r="E83" s="1" t="s">
        <v>1142</v>
      </c>
      <c r="F83" s="2" t="s">
        <v>288</v>
      </c>
      <c r="G83" s="7">
        <v>1763</v>
      </c>
      <c r="H83" s="1" t="s">
        <v>595</v>
      </c>
      <c r="I83" s="1" t="s">
        <v>266</v>
      </c>
      <c r="J83" s="1" t="s">
        <v>421</v>
      </c>
      <c r="K83" s="1" t="s">
        <v>268</v>
      </c>
      <c r="L83" s="3" t="s">
        <v>596</v>
      </c>
      <c r="M83" s="1" t="s">
        <v>597</v>
      </c>
      <c r="N83" s="1" t="s">
        <v>598</v>
      </c>
      <c r="O83" s="1" t="s">
        <v>308</v>
      </c>
      <c r="P83" s="1" t="s">
        <v>586</v>
      </c>
      <c r="Q83" s="4" t="s">
        <v>587</v>
      </c>
    </row>
    <row r="84" spans="1:17" ht="67.5" customHeight="1">
      <c r="A84" s="50" t="s">
        <v>67</v>
      </c>
      <c r="B84" s="1" t="s">
        <v>262</v>
      </c>
      <c r="C84" s="1" t="s">
        <v>314</v>
      </c>
      <c r="D84" s="1" t="s">
        <v>1143</v>
      </c>
      <c r="E84" s="1" t="s">
        <v>1144</v>
      </c>
      <c r="F84" s="2" t="s">
        <v>264</v>
      </c>
      <c r="G84" s="7">
        <v>5641.7</v>
      </c>
      <c r="H84" s="1" t="s">
        <v>599</v>
      </c>
      <c r="I84" s="1" t="s">
        <v>266</v>
      </c>
      <c r="J84" s="1" t="s">
        <v>315</v>
      </c>
      <c r="K84" s="1" t="s">
        <v>268</v>
      </c>
      <c r="L84" s="3" t="s">
        <v>600</v>
      </c>
      <c r="M84" s="1" t="s">
        <v>423</v>
      </c>
      <c r="N84" s="1" t="s">
        <v>601</v>
      </c>
      <c r="O84" s="1" t="s">
        <v>302</v>
      </c>
      <c r="P84" s="1" t="s">
        <v>586</v>
      </c>
      <c r="Q84" s="4" t="s">
        <v>587</v>
      </c>
    </row>
    <row r="85" spans="1:17" ht="67.5" customHeight="1">
      <c r="A85" s="50" t="s">
        <v>67</v>
      </c>
      <c r="B85" s="1" t="s">
        <v>262</v>
      </c>
      <c r="C85" s="1" t="s">
        <v>323</v>
      </c>
      <c r="D85" s="1" t="s">
        <v>1145</v>
      </c>
      <c r="E85" s="1" t="s">
        <v>1146</v>
      </c>
      <c r="F85" s="2" t="s">
        <v>264</v>
      </c>
      <c r="G85" s="7">
        <v>3818</v>
      </c>
      <c r="H85" s="1" t="s">
        <v>602</v>
      </c>
      <c r="I85" s="1" t="s">
        <v>266</v>
      </c>
      <c r="J85" s="1" t="s">
        <v>304</v>
      </c>
      <c r="K85" s="1" t="s">
        <v>268</v>
      </c>
      <c r="L85" s="3" t="s">
        <v>603</v>
      </c>
      <c r="M85" s="1" t="s">
        <v>604</v>
      </c>
      <c r="N85" s="1" t="s">
        <v>605</v>
      </c>
      <c r="O85" s="1" t="s">
        <v>330</v>
      </c>
      <c r="P85" s="1" t="s">
        <v>586</v>
      </c>
      <c r="Q85" s="4" t="s">
        <v>587</v>
      </c>
    </row>
    <row r="86" spans="1:17" ht="67.5" customHeight="1">
      <c r="A86" s="50" t="s">
        <v>67</v>
      </c>
      <c r="B86" s="1" t="s">
        <v>385</v>
      </c>
      <c r="C86" s="1" t="s">
        <v>366</v>
      </c>
      <c r="D86" s="1" t="s">
        <v>350</v>
      </c>
      <c r="E86" s="1" t="s">
        <v>1147</v>
      </c>
      <c r="F86" s="2" t="s">
        <v>264</v>
      </c>
      <c r="G86" s="7">
        <v>3879</v>
      </c>
      <c r="H86" s="1" t="s">
        <v>606</v>
      </c>
      <c r="I86" s="1" t="s">
        <v>266</v>
      </c>
      <c r="J86" s="1" t="s">
        <v>368</v>
      </c>
      <c r="K86" s="1" t="s">
        <v>268</v>
      </c>
      <c r="L86" s="3" t="s">
        <v>607</v>
      </c>
      <c r="M86" s="1" t="s">
        <v>370</v>
      </c>
      <c r="N86" s="1" t="s">
        <v>381</v>
      </c>
      <c r="O86" s="1" t="s">
        <v>308</v>
      </c>
      <c r="P86" s="1" t="s">
        <v>586</v>
      </c>
      <c r="Q86" s="4" t="s">
        <v>587</v>
      </c>
    </row>
    <row r="87" spans="1:17" ht="67.5" customHeight="1">
      <c r="A87" s="50" t="s">
        <v>67</v>
      </c>
      <c r="B87" s="1" t="s">
        <v>262</v>
      </c>
      <c r="C87" s="1" t="s">
        <v>366</v>
      </c>
      <c r="D87" s="1" t="s">
        <v>1148</v>
      </c>
      <c r="E87" s="1" t="s">
        <v>1149</v>
      </c>
      <c r="F87" s="2" t="s">
        <v>288</v>
      </c>
      <c r="G87" s="7">
        <v>84</v>
      </c>
      <c r="H87" s="1" t="s">
        <v>608</v>
      </c>
      <c r="I87" s="1" t="s">
        <v>266</v>
      </c>
      <c r="J87" s="1" t="s">
        <v>368</v>
      </c>
      <c r="K87" s="1" t="s">
        <v>268</v>
      </c>
      <c r="L87" s="3" t="s">
        <v>609</v>
      </c>
      <c r="M87" s="1" t="s">
        <v>370</v>
      </c>
      <c r="N87" s="1" t="s">
        <v>610</v>
      </c>
      <c r="O87" s="1" t="s">
        <v>308</v>
      </c>
      <c r="P87" s="1" t="s">
        <v>586</v>
      </c>
      <c r="Q87" s="4" t="s">
        <v>587</v>
      </c>
    </row>
    <row r="88" spans="1:17" ht="67.5" customHeight="1">
      <c r="A88" s="50" t="s">
        <v>67</v>
      </c>
      <c r="B88" s="1" t="s">
        <v>286</v>
      </c>
      <c r="C88" s="1" t="s">
        <v>397</v>
      </c>
      <c r="D88" s="1" t="s">
        <v>1150</v>
      </c>
      <c r="E88" s="1" t="s">
        <v>1151</v>
      </c>
      <c r="F88" s="2" t="s">
        <v>288</v>
      </c>
      <c r="G88" s="7"/>
      <c r="H88" s="1"/>
      <c r="I88" s="1" t="s">
        <v>289</v>
      </c>
      <c r="J88" s="1" t="s">
        <v>298</v>
      </c>
      <c r="K88" s="1" t="s">
        <v>290</v>
      </c>
      <c r="L88" s="3" t="s">
        <v>611</v>
      </c>
      <c r="M88" s="1" t="s">
        <v>575</v>
      </c>
      <c r="N88" s="1" t="s">
        <v>612</v>
      </c>
      <c r="O88" s="1" t="s">
        <v>401</v>
      </c>
      <c r="P88" s="1" t="s">
        <v>613</v>
      </c>
      <c r="Q88" s="4" t="s">
        <v>587</v>
      </c>
    </row>
    <row r="89" spans="1:17" ht="67.5" customHeight="1">
      <c r="A89" s="50" t="s">
        <v>67</v>
      </c>
      <c r="B89" s="1" t="s">
        <v>286</v>
      </c>
      <c r="C89" s="1" t="s">
        <v>405</v>
      </c>
      <c r="D89" s="1" t="s">
        <v>1152</v>
      </c>
      <c r="E89" s="1" t="s">
        <v>1153</v>
      </c>
      <c r="F89" s="2" t="s">
        <v>264</v>
      </c>
      <c r="G89" s="7"/>
      <c r="H89" s="1"/>
      <c r="I89" s="1" t="s">
        <v>289</v>
      </c>
      <c r="J89" s="1" t="s">
        <v>304</v>
      </c>
      <c r="K89" s="1" t="s">
        <v>290</v>
      </c>
      <c r="L89" s="3" t="s">
        <v>614</v>
      </c>
      <c r="M89" s="1" t="s">
        <v>615</v>
      </c>
      <c r="N89" s="1" t="s">
        <v>616</v>
      </c>
      <c r="O89" s="1" t="s">
        <v>401</v>
      </c>
      <c r="P89" s="1" t="s">
        <v>586</v>
      </c>
      <c r="Q89" s="4" t="s">
        <v>587</v>
      </c>
    </row>
    <row r="90" spans="1:17" ht="67.5" customHeight="1">
      <c r="A90" s="50" t="s">
        <v>67</v>
      </c>
      <c r="B90" s="1" t="s">
        <v>286</v>
      </c>
      <c r="C90" s="1" t="s">
        <v>405</v>
      </c>
      <c r="D90" s="1" t="s">
        <v>1154</v>
      </c>
      <c r="E90" s="1" t="s">
        <v>1155</v>
      </c>
      <c r="F90" s="2" t="s">
        <v>288</v>
      </c>
      <c r="G90" s="7"/>
      <c r="H90" s="1"/>
      <c r="I90" s="1" t="s">
        <v>289</v>
      </c>
      <c r="J90" s="1" t="s">
        <v>304</v>
      </c>
      <c r="K90" s="1" t="s">
        <v>290</v>
      </c>
      <c r="L90" s="3" t="s">
        <v>617</v>
      </c>
      <c r="M90" s="1" t="s">
        <v>408</v>
      </c>
      <c r="N90" s="1" t="s">
        <v>618</v>
      </c>
      <c r="O90" s="1" t="s">
        <v>401</v>
      </c>
      <c r="P90" s="1" t="s">
        <v>619</v>
      </c>
      <c r="Q90" s="4" t="s">
        <v>587</v>
      </c>
    </row>
    <row r="91" spans="1:17" ht="67.5" customHeight="1">
      <c r="A91" s="50" t="s">
        <v>78</v>
      </c>
      <c r="B91" s="1" t="s">
        <v>286</v>
      </c>
      <c r="C91" s="1" t="s">
        <v>263</v>
      </c>
      <c r="D91" s="1" t="s">
        <v>1156</v>
      </c>
      <c r="E91" s="1" t="s">
        <v>1157</v>
      </c>
      <c r="F91" s="2" t="s">
        <v>264</v>
      </c>
      <c r="G91" s="7"/>
      <c r="H91" s="1"/>
      <c r="I91" s="1" t="s">
        <v>289</v>
      </c>
      <c r="J91" s="1" t="s">
        <v>298</v>
      </c>
      <c r="K91" s="1" t="s">
        <v>290</v>
      </c>
      <c r="L91" s="3" t="s">
        <v>620</v>
      </c>
      <c r="M91" s="1" t="s">
        <v>423</v>
      </c>
      <c r="N91" s="1" t="s">
        <v>621</v>
      </c>
      <c r="O91" s="1" t="s">
        <v>302</v>
      </c>
      <c r="P91" s="1" t="s">
        <v>622</v>
      </c>
      <c r="Q91" s="4" t="s">
        <v>623</v>
      </c>
    </row>
    <row r="92" spans="1:17" ht="67.5" customHeight="1">
      <c r="A92" s="50" t="s">
        <v>78</v>
      </c>
      <c r="B92" s="1" t="s">
        <v>286</v>
      </c>
      <c r="C92" s="1" t="s">
        <v>287</v>
      </c>
      <c r="D92" s="1" t="s">
        <v>1158</v>
      </c>
      <c r="E92" s="1" t="s">
        <v>1159</v>
      </c>
      <c r="F92" s="2" t="s">
        <v>288</v>
      </c>
      <c r="G92" s="7"/>
      <c r="H92" s="1"/>
      <c r="I92" s="1" t="s">
        <v>289</v>
      </c>
      <c r="J92" s="1" t="s">
        <v>267</v>
      </c>
      <c r="K92" s="1" t="s">
        <v>290</v>
      </c>
      <c r="L92" s="3" t="s">
        <v>624</v>
      </c>
      <c r="M92" s="1" t="s">
        <v>270</v>
      </c>
      <c r="N92" s="1" t="s">
        <v>271</v>
      </c>
      <c r="O92" s="1" t="s">
        <v>272</v>
      </c>
      <c r="P92" s="1" t="s">
        <v>622</v>
      </c>
      <c r="Q92" s="4" t="s">
        <v>623</v>
      </c>
    </row>
    <row r="93" spans="1:17" ht="67.5" customHeight="1">
      <c r="A93" s="50" t="s">
        <v>78</v>
      </c>
      <c r="B93" s="1" t="s">
        <v>286</v>
      </c>
      <c r="C93" s="1" t="s">
        <v>295</v>
      </c>
      <c r="D93" s="1" t="s">
        <v>1160</v>
      </c>
      <c r="E93" s="1" t="s">
        <v>1161</v>
      </c>
      <c r="F93" s="2" t="s">
        <v>264</v>
      </c>
      <c r="G93" s="7"/>
      <c r="H93" s="1"/>
      <c r="I93" s="1" t="s">
        <v>289</v>
      </c>
      <c r="J93" s="1" t="s">
        <v>267</v>
      </c>
      <c r="K93" s="1" t="s">
        <v>290</v>
      </c>
      <c r="L93" s="3" t="s">
        <v>625</v>
      </c>
      <c r="M93" s="1" t="s">
        <v>270</v>
      </c>
      <c r="N93" s="1" t="s">
        <v>626</v>
      </c>
      <c r="O93" s="1" t="s">
        <v>302</v>
      </c>
      <c r="P93" s="1" t="s">
        <v>622</v>
      </c>
      <c r="Q93" s="4" t="s">
        <v>623</v>
      </c>
    </row>
    <row r="94" spans="1:17" ht="67.5" customHeight="1">
      <c r="A94" s="50" t="s">
        <v>78</v>
      </c>
      <c r="B94" s="1" t="s">
        <v>286</v>
      </c>
      <c r="C94" s="1" t="s">
        <v>314</v>
      </c>
      <c r="D94" s="1" t="s">
        <v>1162</v>
      </c>
      <c r="E94" s="1" t="s">
        <v>1163</v>
      </c>
      <c r="F94" s="2" t="s">
        <v>264</v>
      </c>
      <c r="G94" s="7">
        <v>85</v>
      </c>
      <c r="H94" s="1" t="s">
        <v>627</v>
      </c>
      <c r="I94" s="1" t="s">
        <v>266</v>
      </c>
      <c r="J94" s="1" t="s">
        <v>315</v>
      </c>
      <c r="K94" s="1" t="s">
        <v>268</v>
      </c>
      <c r="L94" s="3" t="s">
        <v>628</v>
      </c>
      <c r="M94" s="1" t="s">
        <v>525</v>
      </c>
      <c r="N94" s="1" t="s">
        <v>629</v>
      </c>
      <c r="O94" s="1" t="s">
        <v>302</v>
      </c>
      <c r="P94" s="1" t="s">
        <v>622</v>
      </c>
      <c r="Q94" s="4" t="s">
        <v>623</v>
      </c>
    </row>
    <row r="95" spans="1:17" ht="67.5" customHeight="1">
      <c r="A95" s="50" t="s">
        <v>78</v>
      </c>
      <c r="B95" s="1" t="s">
        <v>630</v>
      </c>
      <c r="C95" s="1" t="s">
        <v>323</v>
      </c>
      <c r="D95" s="1" t="s">
        <v>1164</v>
      </c>
      <c r="E95" s="1" t="s">
        <v>631</v>
      </c>
      <c r="F95" s="2" t="s">
        <v>264</v>
      </c>
      <c r="G95" s="7"/>
      <c r="H95" s="1"/>
      <c r="I95" s="1" t="s">
        <v>336</v>
      </c>
      <c r="J95" s="1" t="s">
        <v>345</v>
      </c>
      <c r="K95" s="1" t="s">
        <v>290</v>
      </c>
      <c r="L95" s="3" t="s">
        <v>632</v>
      </c>
      <c r="M95" s="1" t="s">
        <v>633</v>
      </c>
      <c r="N95" s="1" t="s">
        <v>634</v>
      </c>
      <c r="O95" s="1" t="s">
        <v>339</v>
      </c>
      <c r="P95" s="1" t="s">
        <v>635</v>
      </c>
      <c r="Q95" s="4" t="s">
        <v>636</v>
      </c>
    </row>
    <row r="96" spans="1:17" ht="67.5" customHeight="1">
      <c r="A96" s="50" t="s">
        <v>78</v>
      </c>
      <c r="B96" s="1" t="s">
        <v>637</v>
      </c>
      <c r="C96" s="1" t="s">
        <v>323</v>
      </c>
      <c r="D96" s="1" t="s">
        <v>1165</v>
      </c>
      <c r="E96" s="1" t="s">
        <v>1166</v>
      </c>
      <c r="F96" s="2" t="s">
        <v>288</v>
      </c>
      <c r="G96" s="7"/>
      <c r="H96" s="1"/>
      <c r="I96" s="1" t="s">
        <v>289</v>
      </c>
      <c r="J96" s="1" t="s">
        <v>638</v>
      </c>
      <c r="K96" s="1" t="s">
        <v>290</v>
      </c>
      <c r="L96" s="3" t="s">
        <v>639</v>
      </c>
      <c r="M96" s="1" t="s">
        <v>640</v>
      </c>
      <c r="N96" s="1" t="s">
        <v>641</v>
      </c>
      <c r="O96" s="1" t="s">
        <v>339</v>
      </c>
      <c r="P96" s="1" t="s">
        <v>642</v>
      </c>
      <c r="Q96" s="4" t="s">
        <v>623</v>
      </c>
    </row>
    <row r="97" spans="1:17" ht="67.5" customHeight="1">
      <c r="A97" s="50" t="s">
        <v>78</v>
      </c>
      <c r="B97" s="1" t="s">
        <v>286</v>
      </c>
      <c r="C97" s="1" t="s">
        <v>366</v>
      </c>
      <c r="D97" s="1" t="s">
        <v>1167</v>
      </c>
      <c r="E97" s="1" t="s">
        <v>1168</v>
      </c>
      <c r="F97" s="2" t="s">
        <v>264</v>
      </c>
      <c r="G97" s="7">
        <v>80</v>
      </c>
      <c r="H97" s="1" t="s">
        <v>643</v>
      </c>
      <c r="I97" s="1" t="s">
        <v>266</v>
      </c>
      <c r="J97" s="1" t="s">
        <v>375</v>
      </c>
      <c r="K97" s="1" t="s">
        <v>268</v>
      </c>
      <c r="L97" s="3" t="s">
        <v>644</v>
      </c>
      <c r="M97" s="1" t="s">
        <v>495</v>
      </c>
      <c r="N97" s="1" t="s">
        <v>532</v>
      </c>
      <c r="O97" s="1" t="s">
        <v>308</v>
      </c>
      <c r="P97" s="1" t="s">
        <v>622</v>
      </c>
      <c r="Q97" s="4" t="s">
        <v>623</v>
      </c>
    </row>
    <row r="98" spans="1:17" ht="67.5" customHeight="1">
      <c r="A98" s="50" t="s">
        <v>78</v>
      </c>
      <c r="B98" s="1" t="s">
        <v>286</v>
      </c>
      <c r="C98" s="1" t="s">
        <v>397</v>
      </c>
      <c r="D98" s="1" t="s">
        <v>1169</v>
      </c>
      <c r="E98" s="1" t="s">
        <v>1170</v>
      </c>
      <c r="F98" s="2" t="s">
        <v>288</v>
      </c>
      <c r="G98" s="7"/>
      <c r="H98" s="1"/>
      <c r="I98" s="1" t="s">
        <v>289</v>
      </c>
      <c r="J98" s="1" t="s">
        <v>298</v>
      </c>
      <c r="K98" s="1" t="s">
        <v>290</v>
      </c>
      <c r="L98" s="3" t="s">
        <v>645</v>
      </c>
      <c r="M98" s="1" t="s">
        <v>575</v>
      </c>
      <c r="N98" s="1" t="s">
        <v>646</v>
      </c>
      <c r="O98" s="1" t="s">
        <v>401</v>
      </c>
      <c r="P98" s="1" t="s">
        <v>622</v>
      </c>
      <c r="Q98" s="4" t="s">
        <v>623</v>
      </c>
    </row>
    <row r="99" spans="1:17" ht="67.5" customHeight="1">
      <c r="A99" s="50" t="s">
        <v>78</v>
      </c>
      <c r="B99" s="1" t="s">
        <v>274</v>
      </c>
      <c r="C99" s="1" t="s">
        <v>405</v>
      </c>
      <c r="D99" s="1" t="s">
        <v>1171</v>
      </c>
      <c r="E99" s="1" t="s">
        <v>1172</v>
      </c>
      <c r="F99" s="2" t="s">
        <v>275</v>
      </c>
      <c r="G99" s="7"/>
      <c r="H99" s="1"/>
      <c r="I99" s="1" t="s">
        <v>276</v>
      </c>
      <c r="J99" s="1" t="s">
        <v>298</v>
      </c>
      <c r="K99" s="1" t="s">
        <v>275</v>
      </c>
      <c r="L99" s="3" t="s">
        <v>647</v>
      </c>
      <c r="M99" s="1" t="s">
        <v>413</v>
      </c>
      <c r="N99" s="1" t="s">
        <v>490</v>
      </c>
      <c r="O99" s="1" t="s">
        <v>401</v>
      </c>
      <c r="P99" s="1" t="s">
        <v>279</v>
      </c>
      <c r="Q99" s="4" t="s">
        <v>623</v>
      </c>
    </row>
    <row r="100" spans="1:17" ht="67.5" customHeight="1">
      <c r="A100" s="50" t="s">
        <v>78</v>
      </c>
      <c r="B100" s="1" t="s">
        <v>648</v>
      </c>
      <c r="C100" s="1" t="s">
        <v>405</v>
      </c>
      <c r="D100" s="1" t="s">
        <v>1173</v>
      </c>
      <c r="E100" s="1" t="s">
        <v>1174</v>
      </c>
      <c r="F100" s="2" t="s">
        <v>363</v>
      </c>
      <c r="G100" s="7">
        <v>40</v>
      </c>
      <c r="H100" s="1" t="s">
        <v>649</v>
      </c>
      <c r="I100" s="1" t="s">
        <v>336</v>
      </c>
      <c r="J100" s="1" t="s">
        <v>650</v>
      </c>
      <c r="K100" s="1" t="s">
        <v>268</v>
      </c>
      <c r="L100" s="3" t="s">
        <v>651</v>
      </c>
      <c r="M100" s="1" t="s">
        <v>604</v>
      </c>
      <c r="N100" s="1" t="s">
        <v>652</v>
      </c>
      <c r="O100" s="1" t="s">
        <v>330</v>
      </c>
      <c r="P100" s="1" t="s">
        <v>653</v>
      </c>
      <c r="Q100" s="4" t="s">
        <v>654</v>
      </c>
    </row>
    <row r="101" spans="1:17" ht="67.5" customHeight="1">
      <c r="A101" s="50" t="s">
        <v>89</v>
      </c>
      <c r="B101" s="1" t="s">
        <v>274</v>
      </c>
      <c r="C101" s="1" t="s">
        <v>263</v>
      </c>
      <c r="D101" s="1" t="s">
        <v>1175</v>
      </c>
      <c r="E101" s="1" t="s">
        <v>1176</v>
      </c>
      <c r="F101" s="2" t="s">
        <v>275</v>
      </c>
      <c r="G101" s="7"/>
      <c r="H101" s="1"/>
      <c r="I101" s="1" t="s">
        <v>276</v>
      </c>
      <c r="J101" s="1" t="s">
        <v>267</v>
      </c>
      <c r="K101" s="1" t="s">
        <v>275</v>
      </c>
      <c r="L101" s="3" t="s">
        <v>655</v>
      </c>
      <c r="M101" s="1" t="s">
        <v>278</v>
      </c>
      <c r="N101" s="1" t="s">
        <v>271</v>
      </c>
      <c r="O101" s="1" t="s">
        <v>284</v>
      </c>
      <c r="P101" s="1" t="s">
        <v>279</v>
      </c>
      <c r="Q101" s="4" t="s">
        <v>656</v>
      </c>
    </row>
    <row r="102" spans="1:17" ht="67.5" customHeight="1">
      <c r="A102" s="50" t="s">
        <v>89</v>
      </c>
      <c r="B102" s="1" t="s">
        <v>274</v>
      </c>
      <c r="C102" s="1" t="s">
        <v>287</v>
      </c>
      <c r="D102" s="1" t="s">
        <v>1073</v>
      </c>
      <c r="E102" s="1" t="s">
        <v>1177</v>
      </c>
      <c r="F102" s="2" t="s">
        <v>275</v>
      </c>
      <c r="G102" s="7"/>
      <c r="H102" s="1"/>
      <c r="I102" s="1" t="s">
        <v>276</v>
      </c>
      <c r="J102" s="1" t="s">
        <v>267</v>
      </c>
      <c r="K102" s="1" t="s">
        <v>275</v>
      </c>
      <c r="L102" s="3" t="s">
        <v>657</v>
      </c>
      <c r="M102" s="1" t="s">
        <v>278</v>
      </c>
      <c r="N102" s="1" t="s">
        <v>271</v>
      </c>
      <c r="O102" s="1" t="s">
        <v>284</v>
      </c>
      <c r="P102" s="1" t="s">
        <v>279</v>
      </c>
      <c r="Q102" s="4" t="s">
        <v>656</v>
      </c>
    </row>
    <row r="103" spans="1:17" ht="67.5" customHeight="1">
      <c r="A103" s="50" t="s">
        <v>89</v>
      </c>
      <c r="B103" s="1" t="s">
        <v>286</v>
      </c>
      <c r="C103" s="1" t="s">
        <v>295</v>
      </c>
      <c r="D103" s="1" t="s">
        <v>1178</v>
      </c>
      <c r="E103" s="1" t="s">
        <v>1179</v>
      </c>
      <c r="F103" s="2" t="s">
        <v>288</v>
      </c>
      <c r="G103" s="7"/>
      <c r="H103" s="1"/>
      <c r="I103" s="1" t="s">
        <v>289</v>
      </c>
      <c r="J103" s="1" t="s">
        <v>298</v>
      </c>
      <c r="K103" s="1" t="s">
        <v>290</v>
      </c>
      <c r="L103" s="3" t="s">
        <v>658</v>
      </c>
      <c r="M103" s="1" t="s">
        <v>413</v>
      </c>
      <c r="N103" s="1" t="s">
        <v>659</v>
      </c>
      <c r="O103" s="1" t="s">
        <v>302</v>
      </c>
      <c r="P103" s="1" t="s">
        <v>660</v>
      </c>
      <c r="Q103" s="4" t="s">
        <v>656</v>
      </c>
    </row>
    <row r="104" spans="1:17" ht="67.5" customHeight="1">
      <c r="A104" s="50" t="s">
        <v>89</v>
      </c>
      <c r="B104" s="1" t="s">
        <v>661</v>
      </c>
      <c r="C104" s="1" t="s">
        <v>314</v>
      </c>
      <c r="D104" s="1" t="s">
        <v>1180</v>
      </c>
      <c r="E104" s="1" t="s">
        <v>662</v>
      </c>
      <c r="F104" s="2" t="s">
        <v>264</v>
      </c>
      <c r="G104" s="7"/>
      <c r="H104" s="1"/>
      <c r="I104" s="1" t="s">
        <v>289</v>
      </c>
      <c r="J104" s="1" t="s">
        <v>304</v>
      </c>
      <c r="K104" s="1" t="s">
        <v>290</v>
      </c>
      <c r="L104" s="3" t="s">
        <v>663</v>
      </c>
      <c r="M104" s="1" t="s">
        <v>317</v>
      </c>
      <c r="N104" s="1" t="s">
        <v>664</v>
      </c>
      <c r="O104" s="1" t="s">
        <v>401</v>
      </c>
      <c r="P104" s="1" t="s">
        <v>660</v>
      </c>
      <c r="Q104" s="4" t="s">
        <v>656</v>
      </c>
    </row>
    <row r="105" spans="1:17" ht="67.5" customHeight="1">
      <c r="A105" s="50" t="s">
        <v>89</v>
      </c>
      <c r="B105" s="1" t="s">
        <v>665</v>
      </c>
      <c r="C105" s="1" t="s">
        <v>323</v>
      </c>
      <c r="D105" s="1" t="s">
        <v>1181</v>
      </c>
      <c r="E105" s="1" t="s">
        <v>666</v>
      </c>
      <c r="F105" s="2" t="s">
        <v>264</v>
      </c>
      <c r="G105" s="7">
        <v>12000</v>
      </c>
      <c r="H105" s="1" t="s">
        <v>667</v>
      </c>
      <c r="I105" s="1" t="s">
        <v>266</v>
      </c>
      <c r="J105" s="1" t="s">
        <v>298</v>
      </c>
      <c r="K105" s="1" t="s">
        <v>268</v>
      </c>
      <c r="L105" s="3" t="s">
        <v>668</v>
      </c>
      <c r="M105" s="1" t="s">
        <v>669</v>
      </c>
      <c r="N105" s="1" t="s">
        <v>670</v>
      </c>
      <c r="O105" s="1" t="s">
        <v>302</v>
      </c>
      <c r="P105" s="1" t="s">
        <v>660</v>
      </c>
      <c r="Q105" s="4" t="s">
        <v>656</v>
      </c>
    </row>
    <row r="106" spans="1:17" ht="67.5" customHeight="1">
      <c r="A106" s="50" t="s">
        <v>89</v>
      </c>
      <c r="B106" s="1" t="s">
        <v>262</v>
      </c>
      <c r="C106" s="1" t="s">
        <v>323</v>
      </c>
      <c r="D106" s="1" t="s">
        <v>1182</v>
      </c>
      <c r="E106" s="1" t="s">
        <v>1183</v>
      </c>
      <c r="F106" s="2" t="s">
        <v>288</v>
      </c>
      <c r="G106" s="7">
        <v>151</v>
      </c>
      <c r="H106" s="1" t="s">
        <v>672</v>
      </c>
      <c r="I106" s="1" t="s">
        <v>336</v>
      </c>
      <c r="J106" s="1" t="s">
        <v>345</v>
      </c>
      <c r="K106" s="1" t="s">
        <v>268</v>
      </c>
      <c r="L106" s="3" t="s">
        <v>673</v>
      </c>
      <c r="M106" s="1" t="s">
        <v>633</v>
      </c>
      <c r="N106" s="1" t="s">
        <v>674</v>
      </c>
      <c r="O106" s="1" t="s">
        <v>339</v>
      </c>
      <c r="P106" s="1" t="s">
        <v>675</v>
      </c>
      <c r="Q106" s="4" t="s">
        <v>676</v>
      </c>
    </row>
    <row r="107" spans="1:17" ht="67.5" customHeight="1">
      <c r="A107" s="50" t="s">
        <v>89</v>
      </c>
      <c r="B107" s="1" t="s">
        <v>262</v>
      </c>
      <c r="C107" s="1" t="s">
        <v>323</v>
      </c>
      <c r="D107" s="1" t="s">
        <v>1184</v>
      </c>
      <c r="E107" s="1" t="s">
        <v>1185</v>
      </c>
      <c r="F107" s="2" t="s">
        <v>288</v>
      </c>
      <c r="G107" s="7">
        <v>24.6</v>
      </c>
      <c r="H107" s="1" t="s">
        <v>678</v>
      </c>
      <c r="I107" s="1" t="s">
        <v>336</v>
      </c>
      <c r="J107" s="1" t="s">
        <v>345</v>
      </c>
      <c r="K107" s="1" t="s">
        <v>679</v>
      </c>
      <c r="L107" s="3" t="s">
        <v>680</v>
      </c>
      <c r="M107" s="1" t="s">
        <v>681</v>
      </c>
      <c r="N107" s="1" t="s">
        <v>682</v>
      </c>
      <c r="O107" s="1" t="s">
        <v>339</v>
      </c>
      <c r="P107" s="1" t="s">
        <v>675</v>
      </c>
      <c r="Q107" s="4" t="s">
        <v>676</v>
      </c>
    </row>
    <row r="108" spans="1:17" ht="67.5" customHeight="1">
      <c r="A108" s="50" t="s">
        <v>89</v>
      </c>
      <c r="B108" s="1" t="s">
        <v>683</v>
      </c>
      <c r="C108" s="1" t="s">
        <v>366</v>
      </c>
      <c r="D108" s="1" t="s">
        <v>1167</v>
      </c>
      <c r="E108" s="1" t="s">
        <v>1186</v>
      </c>
      <c r="F108" s="2" t="s">
        <v>264</v>
      </c>
      <c r="G108" s="7">
        <v>98</v>
      </c>
      <c r="H108" s="1" t="s">
        <v>685</v>
      </c>
      <c r="I108" s="1" t="s">
        <v>266</v>
      </c>
      <c r="J108" s="1" t="s">
        <v>375</v>
      </c>
      <c r="K108" s="1" t="s">
        <v>268</v>
      </c>
      <c r="L108" s="3" t="s">
        <v>686</v>
      </c>
      <c r="M108" s="1" t="s">
        <v>495</v>
      </c>
      <c r="N108" s="1" t="s">
        <v>532</v>
      </c>
      <c r="O108" s="1" t="s">
        <v>308</v>
      </c>
      <c r="P108" s="1" t="s">
        <v>687</v>
      </c>
      <c r="Q108" s="4" t="s">
        <v>688</v>
      </c>
    </row>
    <row r="109" spans="1:17" ht="67.5" customHeight="1">
      <c r="A109" s="50" t="s">
        <v>89</v>
      </c>
      <c r="B109" s="1" t="s">
        <v>286</v>
      </c>
      <c r="C109" s="1" t="s">
        <v>366</v>
      </c>
      <c r="D109" s="1" t="s">
        <v>1187</v>
      </c>
      <c r="E109" s="1" t="s">
        <v>690</v>
      </c>
      <c r="F109" s="2" t="s">
        <v>288</v>
      </c>
      <c r="G109" s="7">
        <v>11</v>
      </c>
      <c r="H109" s="1" t="s">
        <v>691</v>
      </c>
      <c r="I109" s="1" t="s">
        <v>266</v>
      </c>
      <c r="J109" s="1" t="s">
        <v>375</v>
      </c>
      <c r="K109" s="1" t="s">
        <v>268</v>
      </c>
      <c r="L109" s="3" t="s">
        <v>692</v>
      </c>
      <c r="M109" s="1" t="s">
        <v>389</v>
      </c>
      <c r="N109" s="1" t="s">
        <v>693</v>
      </c>
      <c r="O109" s="1" t="s">
        <v>302</v>
      </c>
      <c r="P109" s="1" t="s">
        <v>660</v>
      </c>
      <c r="Q109" s="4" t="s">
        <v>656</v>
      </c>
    </row>
    <row r="110" spans="1:17" ht="67.5" customHeight="1">
      <c r="A110" s="50" t="s">
        <v>89</v>
      </c>
      <c r="B110" s="1" t="s">
        <v>286</v>
      </c>
      <c r="C110" s="1" t="s">
        <v>397</v>
      </c>
      <c r="D110" s="1" t="s">
        <v>1188</v>
      </c>
      <c r="E110" s="1" t="s">
        <v>1189</v>
      </c>
      <c r="F110" s="2" t="s">
        <v>264</v>
      </c>
      <c r="G110" s="7"/>
      <c r="H110" s="1"/>
      <c r="I110" s="1" t="s">
        <v>289</v>
      </c>
      <c r="J110" s="1" t="s">
        <v>298</v>
      </c>
      <c r="K110" s="1" t="s">
        <v>290</v>
      </c>
      <c r="L110" s="3" t="s">
        <v>694</v>
      </c>
      <c r="M110" s="1" t="s">
        <v>695</v>
      </c>
      <c r="N110" s="1" t="s">
        <v>696</v>
      </c>
      <c r="O110" s="1" t="s">
        <v>401</v>
      </c>
      <c r="P110" s="1" t="s">
        <v>660</v>
      </c>
      <c r="Q110" s="4" t="s">
        <v>656</v>
      </c>
    </row>
    <row r="111" spans="1:17" ht="67.5" customHeight="1">
      <c r="A111" s="50" t="s">
        <v>89</v>
      </c>
      <c r="B111" s="1" t="s">
        <v>286</v>
      </c>
      <c r="C111" s="1" t="s">
        <v>405</v>
      </c>
      <c r="D111" s="1" t="s">
        <v>1190</v>
      </c>
      <c r="E111" s="1" t="s">
        <v>1191</v>
      </c>
      <c r="F111" s="2" t="s">
        <v>264</v>
      </c>
      <c r="G111" s="7"/>
      <c r="H111" s="1"/>
      <c r="I111" s="1" t="s">
        <v>289</v>
      </c>
      <c r="J111" s="1" t="s">
        <v>304</v>
      </c>
      <c r="K111" s="1" t="s">
        <v>290</v>
      </c>
      <c r="L111" s="3" t="s">
        <v>697</v>
      </c>
      <c r="M111" s="1" t="s">
        <v>698</v>
      </c>
      <c r="N111" s="1" t="s">
        <v>699</v>
      </c>
      <c r="O111" s="1" t="s">
        <v>401</v>
      </c>
      <c r="P111" s="1" t="s">
        <v>700</v>
      </c>
      <c r="Q111" s="4" t="s">
        <v>701</v>
      </c>
    </row>
    <row r="112" spans="1:17" ht="67.5" customHeight="1">
      <c r="A112" s="50" t="s">
        <v>100</v>
      </c>
      <c r="B112" s="1" t="s">
        <v>385</v>
      </c>
      <c r="C112" s="1" t="s">
        <v>263</v>
      </c>
      <c r="D112" s="1" t="s">
        <v>1192</v>
      </c>
      <c r="E112" s="1" t="s">
        <v>1193</v>
      </c>
      <c r="F112" s="2" t="s">
        <v>264</v>
      </c>
      <c r="G112" s="7">
        <v>2.81</v>
      </c>
      <c r="H112" s="1" t="s">
        <v>702</v>
      </c>
      <c r="I112" s="1" t="s">
        <v>266</v>
      </c>
      <c r="J112" s="1" t="s">
        <v>267</v>
      </c>
      <c r="K112" s="1" t="s">
        <v>326</v>
      </c>
      <c r="L112" s="3" t="s">
        <v>703</v>
      </c>
      <c r="M112" s="1" t="s">
        <v>300</v>
      </c>
      <c r="N112" s="1" t="s">
        <v>704</v>
      </c>
      <c r="O112" s="1" t="s">
        <v>284</v>
      </c>
      <c r="P112" s="1" t="s">
        <v>705</v>
      </c>
      <c r="Q112" s="4" t="s">
        <v>706</v>
      </c>
    </row>
    <row r="113" spans="1:17" ht="67.5" customHeight="1">
      <c r="A113" s="50" t="s">
        <v>100</v>
      </c>
      <c r="B113" s="1" t="s">
        <v>385</v>
      </c>
      <c r="C113" s="1" t="s">
        <v>287</v>
      </c>
      <c r="D113" s="1" t="s">
        <v>1194</v>
      </c>
      <c r="E113" s="1" t="s">
        <v>1195</v>
      </c>
      <c r="F113" s="2" t="s">
        <v>264</v>
      </c>
      <c r="G113" s="7">
        <v>0.68</v>
      </c>
      <c r="H113" s="1" t="s">
        <v>707</v>
      </c>
      <c r="I113" s="1" t="s">
        <v>266</v>
      </c>
      <c r="J113" s="1" t="s">
        <v>267</v>
      </c>
      <c r="K113" s="1" t="s">
        <v>326</v>
      </c>
      <c r="L113" s="3" t="s">
        <v>708</v>
      </c>
      <c r="M113" s="1" t="s">
        <v>300</v>
      </c>
      <c r="N113" s="1" t="s">
        <v>704</v>
      </c>
      <c r="O113" s="1" t="s">
        <v>284</v>
      </c>
      <c r="P113" s="1" t="s">
        <v>705</v>
      </c>
      <c r="Q113" s="4" t="s">
        <v>706</v>
      </c>
    </row>
    <row r="114" spans="1:17" ht="67.5" customHeight="1">
      <c r="A114" s="50" t="s">
        <v>100</v>
      </c>
      <c r="B114" s="1" t="s">
        <v>262</v>
      </c>
      <c r="C114" s="1" t="s">
        <v>295</v>
      </c>
      <c r="D114" s="1" t="s">
        <v>1196</v>
      </c>
      <c r="E114" s="1" t="s">
        <v>1197</v>
      </c>
      <c r="F114" s="2" t="s">
        <v>264</v>
      </c>
      <c r="G114" s="7">
        <v>1536</v>
      </c>
      <c r="H114" s="1" t="s">
        <v>709</v>
      </c>
      <c r="I114" s="1" t="s">
        <v>266</v>
      </c>
      <c r="J114" s="1" t="s">
        <v>267</v>
      </c>
      <c r="K114" s="1" t="s">
        <v>268</v>
      </c>
      <c r="L114" s="3" t="s">
        <v>710</v>
      </c>
      <c r="M114" s="1" t="s">
        <v>300</v>
      </c>
      <c r="N114" s="1" t="s">
        <v>711</v>
      </c>
      <c r="O114" s="1" t="s">
        <v>302</v>
      </c>
      <c r="P114" s="1" t="s">
        <v>705</v>
      </c>
      <c r="Q114" s="4" t="s">
        <v>706</v>
      </c>
    </row>
    <row r="115" spans="1:17" ht="67.5" customHeight="1">
      <c r="A115" s="50" t="s">
        <v>100</v>
      </c>
      <c r="B115" s="1" t="s">
        <v>385</v>
      </c>
      <c r="C115" s="1" t="s">
        <v>295</v>
      </c>
      <c r="D115" s="1" t="s">
        <v>1198</v>
      </c>
      <c r="E115" s="1" t="s">
        <v>1199</v>
      </c>
      <c r="F115" s="2" t="s">
        <v>264</v>
      </c>
      <c r="G115" s="7"/>
      <c r="H115" s="1"/>
      <c r="I115" s="1" t="s">
        <v>289</v>
      </c>
      <c r="J115" s="1" t="s">
        <v>298</v>
      </c>
      <c r="K115" s="1" t="s">
        <v>290</v>
      </c>
      <c r="L115" s="3" t="s">
        <v>712</v>
      </c>
      <c r="M115" s="1" t="s">
        <v>270</v>
      </c>
      <c r="N115" s="1" t="s">
        <v>713</v>
      </c>
      <c r="O115" s="1" t="s">
        <v>302</v>
      </c>
      <c r="P115" s="1" t="s">
        <v>705</v>
      </c>
      <c r="Q115" s="4" t="s">
        <v>706</v>
      </c>
    </row>
    <row r="116" spans="1:17" ht="67.5" customHeight="1">
      <c r="A116" s="50" t="s">
        <v>100</v>
      </c>
      <c r="B116" s="1" t="s">
        <v>714</v>
      </c>
      <c r="C116" s="1" t="s">
        <v>295</v>
      </c>
      <c r="D116" s="1" t="s">
        <v>1200</v>
      </c>
      <c r="E116" s="1" t="s">
        <v>1201</v>
      </c>
      <c r="F116" s="2" t="s">
        <v>264</v>
      </c>
      <c r="G116" s="7">
        <v>24</v>
      </c>
      <c r="H116" s="1" t="s">
        <v>715</v>
      </c>
      <c r="I116" s="1" t="s">
        <v>266</v>
      </c>
      <c r="J116" s="1" t="s">
        <v>267</v>
      </c>
      <c r="K116" s="1" t="s">
        <v>268</v>
      </c>
      <c r="L116" s="3" t="s">
        <v>716</v>
      </c>
      <c r="M116" s="1" t="s">
        <v>270</v>
      </c>
      <c r="N116" s="1" t="s">
        <v>717</v>
      </c>
      <c r="O116" s="1" t="s">
        <v>302</v>
      </c>
      <c r="P116" s="1" t="s">
        <v>718</v>
      </c>
      <c r="Q116" s="4" t="s">
        <v>719</v>
      </c>
    </row>
    <row r="117" spans="1:17" ht="67.5" customHeight="1">
      <c r="A117" s="50" t="s">
        <v>100</v>
      </c>
      <c r="B117" s="1" t="s">
        <v>385</v>
      </c>
      <c r="C117" s="1" t="s">
        <v>314</v>
      </c>
      <c r="D117" s="1" t="s">
        <v>1202</v>
      </c>
      <c r="E117" s="1" t="s">
        <v>720</v>
      </c>
      <c r="F117" s="2" t="s">
        <v>264</v>
      </c>
      <c r="G117" s="7">
        <v>80</v>
      </c>
      <c r="H117" s="1" t="s">
        <v>721</v>
      </c>
      <c r="I117" s="1" t="s">
        <v>266</v>
      </c>
      <c r="J117" s="1" t="s">
        <v>267</v>
      </c>
      <c r="K117" s="1" t="s">
        <v>326</v>
      </c>
      <c r="L117" s="3" t="s">
        <v>722</v>
      </c>
      <c r="M117" s="1" t="s">
        <v>723</v>
      </c>
      <c r="N117" s="1" t="s">
        <v>320</v>
      </c>
      <c r="O117" s="1" t="s">
        <v>302</v>
      </c>
      <c r="P117" s="1" t="s">
        <v>705</v>
      </c>
      <c r="Q117" s="4" t="s">
        <v>706</v>
      </c>
    </row>
    <row r="118" spans="1:17" ht="67.5" customHeight="1">
      <c r="A118" s="50" t="s">
        <v>100</v>
      </c>
      <c r="B118" s="1" t="s">
        <v>262</v>
      </c>
      <c r="C118" s="1" t="s">
        <v>323</v>
      </c>
      <c r="D118" s="1" t="s">
        <v>1203</v>
      </c>
      <c r="E118" s="1" t="s">
        <v>1204</v>
      </c>
      <c r="F118" s="2" t="s">
        <v>288</v>
      </c>
      <c r="G118" s="7"/>
      <c r="H118" s="1"/>
      <c r="I118" s="1" t="s">
        <v>289</v>
      </c>
      <c r="J118" s="1" t="s">
        <v>298</v>
      </c>
      <c r="K118" s="1" t="s">
        <v>290</v>
      </c>
      <c r="L118" s="3" t="s">
        <v>724</v>
      </c>
      <c r="M118" s="1" t="s">
        <v>423</v>
      </c>
      <c r="N118" s="1" t="s">
        <v>725</v>
      </c>
      <c r="O118" s="1" t="s">
        <v>302</v>
      </c>
      <c r="P118" s="1" t="s">
        <v>705</v>
      </c>
      <c r="Q118" s="4" t="s">
        <v>706</v>
      </c>
    </row>
    <row r="119" spans="1:17" ht="67.5" customHeight="1">
      <c r="A119" s="50" t="s">
        <v>100</v>
      </c>
      <c r="B119" s="1" t="s">
        <v>262</v>
      </c>
      <c r="C119" s="1" t="s">
        <v>366</v>
      </c>
      <c r="D119" s="1" t="s">
        <v>1205</v>
      </c>
      <c r="E119" s="1" t="s">
        <v>726</v>
      </c>
      <c r="F119" s="2" t="s">
        <v>264</v>
      </c>
      <c r="G119" s="7">
        <v>95</v>
      </c>
      <c r="H119" s="1" t="s">
        <v>727</v>
      </c>
      <c r="I119" s="1" t="s">
        <v>266</v>
      </c>
      <c r="J119" s="1" t="s">
        <v>375</v>
      </c>
      <c r="K119" s="1" t="s">
        <v>268</v>
      </c>
      <c r="L119" s="3" t="s">
        <v>728</v>
      </c>
      <c r="M119" s="1" t="s">
        <v>370</v>
      </c>
      <c r="N119" s="1" t="s">
        <v>729</v>
      </c>
      <c r="O119" s="1" t="s">
        <v>272</v>
      </c>
      <c r="P119" s="1" t="s">
        <v>705</v>
      </c>
      <c r="Q119" s="4" t="s">
        <v>706</v>
      </c>
    </row>
    <row r="120" spans="1:17" ht="67.5" customHeight="1">
      <c r="A120" s="50" t="s">
        <v>100</v>
      </c>
      <c r="B120" s="1" t="s">
        <v>262</v>
      </c>
      <c r="C120" s="1" t="s">
        <v>366</v>
      </c>
      <c r="D120" s="1" t="s">
        <v>1206</v>
      </c>
      <c r="E120" s="1" t="s">
        <v>1207</v>
      </c>
      <c r="F120" s="2" t="s">
        <v>288</v>
      </c>
      <c r="G120" s="7">
        <v>70000000</v>
      </c>
      <c r="H120" s="1" t="s">
        <v>730</v>
      </c>
      <c r="I120" s="1" t="s">
        <v>266</v>
      </c>
      <c r="J120" s="1" t="s">
        <v>304</v>
      </c>
      <c r="K120" s="1" t="s">
        <v>268</v>
      </c>
      <c r="L120" s="3" t="s">
        <v>731</v>
      </c>
      <c r="M120" s="1" t="s">
        <v>571</v>
      </c>
      <c r="N120" s="1" t="s">
        <v>732</v>
      </c>
      <c r="O120" s="1" t="s">
        <v>308</v>
      </c>
      <c r="P120" s="1" t="s">
        <v>733</v>
      </c>
      <c r="Q120" s="4" t="s">
        <v>734</v>
      </c>
    </row>
    <row r="121" spans="1:17" ht="67.5" customHeight="1">
      <c r="A121" s="50" t="s">
        <v>100</v>
      </c>
      <c r="B121" s="1" t="s">
        <v>262</v>
      </c>
      <c r="C121" s="1" t="s">
        <v>397</v>
      </c>
      <c r="D121" s="1" t="s">
        <v>1208</v>
      </c>
      <c r="E121" s="1" t="s">
        <v>1209</v>
      </c>
      <c r="F121" s="2" t="s">
        <v>288</v>
      </c>
      <c r="G121" s="7"/>
      <c r="H121" s="1"/>
      <c r="I121" s="1" t="s">
        <v>289</v>
      </c>
      <c r="J121" s="1" t="s">
        <v>315</v>
      </c>
      <c r="K121" s="1" t="s">
        <v>290</v>
      </c>
      <c r="L121" s="3" t="s">
        <v>735</v>
      </c>
      <c r="M121" s="1" t="s">
        <v>736</v>
      </c>
      <c r="N121" s="1" t="s">
        <v>737</v>
      </c>
      <c r="O121" s="1" t="s">
        <v>302</v>
      </c>
      <c r="P121" s="1" t="s">
        <v>705</v>
      </c>
      <c r="Q121" s="4" t="s">
        <v>706</v>
      </c>
    </row>
    <row r="122" spans="1:17" ht="67.5" customHeight="1">
      <c r="A122" s="50" t="s">
        <v>100</v>
      </c>
      <c r="B122" s="1" t="s">
        <v>286</v>
      </c>
      <c r="C122" s="1" t="s">
        <v>405</v>
      </c>
      <c r="D122" s="1" t="s">
        <v>1210</v>
      </c>
      <c r="E122" s="1" t="s">
        <v>1211</v>
      </c>
      <c r="F122" s="2" t="s">
        <v>264</v>
      </c>
      <c r="G122" s="7"/>
      <c r="H122" s="1"/>
      <c r="I122" s="1" t="s">
        <v>289</v>
      </c>
      <c r="J122" s="1" t="s">
        <v>304</v>
      </c>
      <c r="K122" s="1" t="s">
        <v>290</v>
      </c>
      <c r="L122" s="3" t="s">
        <v>738</v>
      </c>
      <c r="M122" s="1" t="s">
        <v>739</v>
      </c>
      <c r="N122" s="1" t="s">
        <v>740</v>
      </c>
      <c r="O122" s="1" t="s">
        <v>401</v>
      </c>
      <c r="P122" s="1" t="s">
        <v>733</v>
      </c>
      <c r="Q122" s="4" t="s">
        <v>741</v>
      </c>
    </row>
    <row r="123" spans="1:17" ht="67.5" customHeight="1">
      <c r="A123" s="50" t="s">
        <v>100</v>
      </c>
      <c r="B123" s="1" t="s">
        <v>262</v>
      </c>
      <c r="C123" s="1" t="s">
        <v>405</v>
      </c>
      <c r="D123" s="1" t="s">
        <v>1212</v>
      </c>
      <c r="E123" s="1" t="s">
        <v>1213</v>
      </c>
      <c r="F123" s="2" t="s">
        <v>288</v>
      </c>
      <c r="G123" s="7"/>
      <c r="H123" s="1"/>
      <c r="I123" s="1" t="s">
        <v>289</v>
      </c>
      <c r="J123" s="1" t="s">
        <v>298</v>
      </c>
      <c r="K123" s="1" t="s">
        <v>290</v>
      </c>
      <c r="L123" s="3" t="s">
        <v>742</v>
      </c>
      <c r="M123" s="1" t="s">
        <v>408</v>
      </c>
      <c r="N123" s="1" t="s">
        <v>743</v>
      </c>
      <c r="O123" s="1" t="s">
        <v>401</v>
      </c>
      <c r="P123" s="1" t="s">
        <v>705</v>
      </c>
      <c r="Q123" s="4" t="s">
        <v>706</v>
      </c>
    </row>
    <row r="124" spans="1:17" ht="67.5" customHeight="1">
      <c r="A124" s="50" t="s">
        <v>111</v>
      </c>
      <c r="B124" s="1" t="s">
        <v>744</v>
      </c>
      <c r="C124" s="1" t="s">
        <v>263</v>
      </c>
      <c r="D124" s="1" t="s">
        <v>1214</v>
      </c>
      <c r="E124" s="1" t="s">
        <v>745</v>
      </c>
      <c r="F124" s="2" t="s">
        <v>288</v>
      </c>
      <c r="G124" s="7">
        <v>500</v>
      </c>
      <c r="H124" s="1" t="s">
        <v>746</v>
      </c>
      <c r="I124" s="1" t="s">
        <v>266</v>
      </c>
      <c r="J124" s="1" t="s">
        <v>267</v>
      </c>
      <c r="K124" s="1" t="s">
        <v>747</v>
      </c>
      <c r="L124" s="3" t="s">
        <v>748</v>
      </c>
      <c r="M124" s="1" t="s">
        <v>270</v>
      </c>
      <c r="N124" s="1" t="s">
        <v>749</v>
      </c>
      <c r="O124" s="1" t="s">
        <v>302</v>
      </c>
      <c r="P124" s="1" t="s">
        <v>750</v>
      </c>
      <c r="Q124" s="4" t="s">
        <v>751</v>
      </c>
    </row>
    <row r="125" spans="1:17" ht="67.5" customHeight="1">
      <c r="A125" s="50" t="s">
        <v>111</v>
      </c>
      <c r="B125" s="1" t="s">
        <v>752</v>
      </c>
      <c r="C125" s="1" t="s">
        <v>263</v>
      </c>
      <c r="D125" s="1" t="s">
        <v>1215</v>
      </c>
      <c r="E125" s="1" t="s">
        <v>753</v>
      </c>
      <c r="F125" s="2" t="s">
        <v>288</v>
      </c>
      <c r="G125" s="7">
        <v>100</v>
      </c>
      <c r="H125" s="1" t="s">
        <v>754</v>
      </c>
      <c r="I125" s="1" t="s">
        <v>266</v>
      </c>
      <c r="J125" s="1" t="s">
        <v>298</v>
      </c>
      <c r="K125" s="1" t="s">
        <v>268</v>
      </c>
      <c r="L125" s="3" t="s">
        <v>755</v>
      </c>
      <c r="M125" s="1" t="s">
        <v>413</v>
      </c>
      <c r="N125" s="1" t="s">
        <v>756</v>
      </c>
      <c r="O125" s="1" t="s">
        <v>272</v>
      </c>
      <c r="P125" s="1" t="s">
        <v>757</v>
      </c>
      <c r="Q125" s="4" t="s">
        <v>758</v>
      </c>
    </row>
    <row r="126" spans="1:17" ht="67.5" customHeight="1">
      <c r="A126" s="50" t="s">
        <v>111</v>
      </c>
      <c r="B126" s="1" t="s">
        <v>274</v>
      </c>
      <c r="C126" s="1" t="s">
        <v>287</v>
      </c>
      <c r="D126" s="1" t="s">
        <v>1073</v>
      </c>
      <c r="E126" s="1" t="s">
        <v>759</v>
      </c>
      <c r="F126" s="2" t="s">
        <v>275</v>
      </c>
      <c r="G126" s="7"/>
      <c r="H126" s="1"/>
      <c r="I126" s="1" t="s">
        <v>276</v>
      </c>
      <c r="J126" s="1" t="s">
        <v>267</v>
      </c>
      <c r="K126" s="1" t="s">
        <v>275</v>
      </c>
      <c r="L126" s="3" t="s">
        <v>760</v>
      </c>
      <c r="M126" s="1" t="s">
        <v>278</v>
      </c>
      <c r="N126" s="1" t="s">
        <v>271</v>
      </c>
      <c r="O126" s="1" t="s">
        <v>284</v>
      </c>
      <c r="P126" s="1" t="s">
        <v>279</v>
      </c>
      <c r="Q126" s="4" t="s">
        <v>761</v>
      </c>
    </row>
    <row r="127" spans="1:17" ht="67.5" customHeight="1">
      <c r="A127" s="50" t="s">
        <v>111</v>
      </c>
      <c r="B127" s="1" t="s">
        <v>274</v>
      </c>
      <c r="C127" s="1" t="s">
        <v>295</v>
      </c>
      <c r="D127" s="1" t="s">
        <v>1216</v>
      </c>
      <c r="E127" s="1" t="s">
        <v>762</v>
      </c>
      <c r="F127" s="2" t="s">
        <v>275</v>
      </c>
      <c r="G127" s="7"/>
      <c r="H127" s="1"/>
      <c r="I127" s="1" t="s">
        <v>276</v>
      </c>
      <c r="J127" s="1" t="s">
        <v>267</v>
      </c>
      <c r="K127" s="1" t="s">
        <v>275</v>
      </c>
      <c r="L127" s="3" t="s">
        <v>763</v>
      </c>
      <c r="M127" s="1" t="s">
        <v>278</v>
      </c>
      <c r="N127" s="1" t="s">
        <v>764</v>
      </c>
      <c r="O127" s="1" t="s">
        <v>284</v>
      </c>
      <c r="P127" s="1" t="s">
        <v>279</v>
      </c>
      <c r="Q127" s="4" t="s">
        <v>761</v>
      </c>
    </row>
    <row r="128" spans="1:17" ht="67.5" customHeight="1">
      <c r="A128" s="50" t="s">
        <v>111</v>
      </c>
      <c r="B128" s="1" t="s">
        <v>286</v>
      </c>
      <c r="C128" s="1" t="s">
        <v>314</v>
      </c>
      <c r="D128" s="1" t="s">
        <v>671</v>
      </c>
      <c r="E128" s="1" t="s">
        <v>765</v>
      </c>
      <c r="F128" s="2" t="s">
        <v>288</v>
      </c>
      <c r="G128" s="7"/>
      <c r="H128" s="1"/>
      <c r="I128" s="1" t="s">
        <v>289</v>
      </c>
      <c r="J128" s="1" t="s">
        <v>298</v>
      </c>
      <c r="K128" s="1" t="s">
        <v>290</v>
      </c>
      <c r="L128" s="3" t="s">
        <v>766</v>
      </c>
      <c r="M128" s="1" t="s">
        <v>767</v>
      </c>
      <c r="N128" s="1" t="s">
        <v>768</v>
      </c>
      <c r="O128" s="1" t="s">
        <v>302</v>
      </c>
      <c r="P128" s="1" t="s">
        <v>769</v>
      </c>
      <c r="Q128" s="20" t="s">
        <v>770</v>
      </c>
    </row>
    <row r="129" spans="1:17" ht="67.5" customHeight="1">
      <c r="A129" s="50" t="s">
        <v>111</v>
      </c>
      <c r="B129" s="1" t="s">
        <v>771</v>
      </c>
      <c r="C129" s="1" t="s">
        <v>323</v>
      </c>
      <c r="D129" s="1" t="s">
        <v>677</v>
      </c>
      <c r="E129" s="1" t="s">
        <v>772</v>
      </c>
      <c r="F129" s="2" t="s">
        <v>288</v>
      </c>
      <c r="G129" s="7"/>
      <c r="H129" s="1"/>
      <c r="I129" s="1" t="s">
        <v>773</v>
      </c>
      <c r="J129" s="1" t="s">
        <v>298</v>
      </c>
      <c r="K129" s="1" t="s">
        <v>290</v>
      </c>
      <c r="L129" s="3" t="s">
        <v>774</v>
      </c>
      <c r="M129" s="1" t="s">
        <v>775</v>
      </c>
      <c r="N129" s="1" t="s">
        <v>776</v>
      </c>
      <c r="O129" s="1" t="s">
        <v>330</v>
      </c>
      <c r="P129" s="1" t="s">
        <v>777</v>
      </c>
      <c r="Q129" s="19" t="s">
        <v>778</v>
      </c>
    </row>
    <row r="130" spans="1:17" ht="55.5" customHeight="1">
      <c r="A130" s="50" t="s">
        <v>111</v>
      </c>
      <c r="B130" s="1" t="s">
        <v>541</v>
      </c>
      <c r="C130" s="1" t="s">
        <v>397</v>
      </c>
      <c r="D130" s="1" t="s">
        <v>684</v>
      </c>
      <c r="E130" s="1" t="s">
        <v>779</v>
      </c>
      <c r="F130" s="2" t="s">
        <v>264</v>
      </c>
      <c r="G130" s="7"/>
      <c r="H130" s="1"/>
      <c r="I130" s="1" t="s">
        <v>289</v>
      </c>
      <c r="J130" s="1" t="s">
        <v>325</v>
      </c>
      <c r="K130" s="1" t="s">
        <v>290</v>
      </c>
      <c r="L130" s="3" t="s">
        <v>780</v>
      </c>
      <c r="M130" s="1" t="s">
        <v>781</v>
      </c>
      <c r="N130" s="1" t="s">
        <v>782</v>
      </c>
      <c r="O130" s="1" t="s">
        <v>330</v>
      </c>
      <c r="P130" s="1" t="s">
        <v>783</v>
      </c>
      <c r="Q130" s="4" t="s">
        <v>784</v>
      </c>
    </row>
    <row r="131" spans="1:17" ht="54.75" customHeight="1">
      <c r="A131" s="50" t="s">
        <v>111</v>
      </c>
      <c r="B131" s="1" t="s">
        <v>286</v>
      </c>
      <c r="C131" s="1" t="s">
        <v>405</v>
      </c>
      <c r="D131" s="1" t="s">
        <v>689</v>
      </c>
      <c r="E131" s="1" t="s">
        <v>785</v>
      </c>
      <c r="F131" s="2" t="s">
        <v>288</v>
      </c>
      <c r="G131" s="7"/>
      <c r="H131" s="1"/>
      <c r="I131" s="1" t="s">
        <v>289</v>
      </c>
      <c r="J131" s="1" t="s">
        <v>304</v>
      </c>
      <c r="K131" s="1" t="s">
        <v>290</v>
      </c>
      <c r="L131" s="3" t="s">
        <v>786</v>
      </c>
      <c r="M131" s="1" t="s">
        <v>333</v>
      </c>
      <c r="N131" s="1" t="s">
        <v>787</v>
      </c>
      <c r="O131" s="1" t="s">
        <v>401</v>
      </c>
      <c r="P131" s="1" t="s">
        <v>788</v>
      </c>
      <c r="Q131" s="4" t="s">
        <v>789</v>
      </c>
    </row>
    <row r="132" spans="1:17" ht="67.5" customHeight="1">
      <c r="A132" s="50" t="s">
        <v>111</v>
      </c>
      <c r="B132" s="1" t="s">
        <v>274</v>
      </c>
      <c r="C132" s="1" t="s">
        <v>366</v>
      </c>
      <c r="D132" s="1" t="s">
        <v>790</v>
      </c>
      <c r="E132" s="1" t="s">
        <v>791</v>
      </c>
      <c r="F132" s="2" t="s">
        <v>275</v>
      </c>
      <c r="G132" s="7"/>
      <c r="H132" s="1"/>
      <c r="I132" s="1" t="s">
        <v>276</v>
      </c>
      <c r="J132" s="1" t="s">
        <v>368</v>
      </c>
      <c r="K132" s="1" t="s">
        <v>275</v>
      </c>
      <c r="L132" s="3" t="s">
        <v>792</v>
      </c>
      <c r="M132" s="1" t="s">
        <v>370</v>
      </c>
      <c r="N132" s="1" t="s">
        <v>532</v>
      </c>
      <c r="O132" s="1" t="s">
        <v>284</v>
      </c>
      <c r="P132" s="1" t="s">
        <v>279</v>
      </c>
      <c r="Q132" s="4" t="s">
        <v>761</v>
      </c>
    </row>
    <row r="133" spans="1:17" ht="15.75" customHeight="1"/>
    <row r="134" spans="1:17" ht="15.75" customHeight="1"/>
    <row r="135" spans="1:17" ht="15.75" customHeight="1"/>
    <row r="136" spans="1:17" ht="15.75" customHeight="1"/>
    <row r="137" spans="1:17" ht="15.75" customHeight="1"/>
    <row r="138" spans="1:17" ht="15.75" customHeight="1"/>
    <row r="139" spans="1:17" ht="15.75" customHeight="1"/>
    <row r="140" spans="1:17" ht="15.75" customHeight="1"/>
    <row r="141" spans="1:17" ht="15.75" customHeight="1"/>
    <row r="142" spans="1:17" ht="15.75" customHeight="1"/>
    <row r="143" spans="1:17" ht="15.75" customHeight="1"/>
    <row r="144" spans="1:17"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48554" spans="6:6">
      <c r="F1048554">
        <f>COUNTA(F2:F131)</f>
        <v>130</v>
      </c>
    </row>
  </sheetData>
  <conditionalFormatting sqref="F2:F1048553">
    <cfRule type="expression" dxfId="3" priority="1">
      <formula>F2="Core"</formula>
    </cfRule>
    <cfRule type="expression" dxfId="2" priority="2">
      <formula>F2="Data gap"</formula>
    </cfRule>
    <cfRule type="expression" dxfId="1" priority="3">
      <formula>F2="Appendix"</formula>
    </cfRule>
  </conditionalFormatting>
  <dataValidations count="2">
    <dataValidation type="list" allowBlank="1" sqref="F2:F1048553" xr:uid="{00000000-0002-0000-0600-000000000000}">
      <formula1>"Core,Supporting,Appendix,Data gap"</formula1>
    </dataValidation>
    <dataValidation type="list" allowBlank="1" sqref="C2:C1048553" xr:uid="{00000000-0002-0000-0600-000001000000}">
      <formula1>"Energy &amp; Climate,Water,Waste &amp; Plastic,Food &amp; Procurement,Biodiversity &amp; Ecosystems,Community &amp; People,Culture &amp; Heritage,Guest Engagement"</formula1>
    </dataValidation>
  </dataValidations>
  <hyperlinks>
    <hyperlink ref="Q128" r:id="rId1" xr:uid="{00000000-0004-0000-0600-000000000000}"/>
    <hyperlink ref="Q129" r:id="rId2" xr:uid="{00000000-0004-0000-0600-000001000000}"/>
    <hyperlink ref="Q2" r:id="rId3" xr:uid="{AAAA6076-0895-42AE-8616-12CBD3BF561C}"/>
  </hyperlinks>
  <pageMargins left="0.7" right="0.7" top="0.75" bottom="0.75" header="0.3" footer="0.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workbookViewId="0"/>
  </sheetViews>
  <sheetFormatPr defaultColWidth="12.625" defaultRowHeight="15"/>
  <cols>
    <col min="1" max="1" width="29" style="51" customWidth="1"/>
    <col min="2" max="2" width="22" style="8" customWidth="1"/>
    <col min="3" max="3" width="18" customWidth="1"/>
    <col min="4" max="4" width="38" customWidth="1"/>
    <col min="5" max="5" width="54" customWidth="1"/>
    <col min="6" max="6" width="13" customWidth="1"/>
    <col min="7" max="7" width="15" hidden="1" customWidth="1"/>
    <col min="8" max="8" width="20" hidden="1" customWidth="1"/>
    <col min="9" max="9" width="34" customWidth="1"/>
    <col min="10" max="10" width="28" customWidth="1"/>
    <col min="11" max="11" width="23" customWidth="1"/>
    <col min="12" max="12" width="24" customWidth="1"/>
    <col min="13" max="13" width="48" customWidth="1"/>
    <col min="14" max="14" width="58" customWidth="1"/>
    <col min="15" max="23" width="8.625" customWidth="1"/>
  </cols>
  <sheetData>
    <row r="1" spans="1:14" s="56" customFormat="1" ht="31.5" customHeight="1">
      <c r="A1" s="52" t="s">
        <v>1</v>
      </c>
      <c r="B1" s="52" t="s">
        <v>793</v>
      </c>
      <c r="C1" s="52" t="s">
        <v>246</v>
      </c>
      <c r="D1" s="52" t="s">
        <v>794</v>
      </c>
      <c r="E1" s="52" t="s">
        <v>795</v>
      </c>
      <c r="F1" s="52" t="s">
        <v>250</v>
      </c>
      <c r="G1" s="52" t="s">
        <v>796</v>
      </c>
      <c r="H1" s="52" t="s">
        <v>797</v>
      </c>
      <c r="I1" s="52" t="s">
        <v>798</v>
      </c>
      <c r="J1" s="52" t="s">
        <v>799</v>
      </c>
      <c r="K1" s="52" t="s">
        <v>255</v>
      </c>
      <c r="L1" s="52" t="s">
        <v>259</v>
      </c>
      <c r="M1" s="52" t="s">
        <v>256</v>
      </c>
      <c r="N1" s="58" t="s">
        <v>261</v>
      </c>
    </row>
    <row r="2" spans="1:14" ht="67.5" customHeight="1">
      <c r="A2" s="50" t="s">
        <v>12</v>
      </c>
      <c r="B2" s="1" t="s">
        <v>800</v>
      </c>
      <c r="C2" s="1" t="s">
        <v>801</v>
      </c>
      <c r="D2" s="1" t="s">
        <v>802</v>
      </c>
      <c r="E2" s="1" t="s">
        <v>803</v>
      </c>
      <c r="F2" s="2" t="s">
        <v>804</v>
      </c>
      <c r="G2" s="1"/>
      <c r="H2" s="1"/>
      <c r="I2" s="1" t="s">
        <v>805</v>
      </c>
      <c r="J2" s="1" t="s">
        <v>806</v>
      </c>
      <c r="K2" s="1" t="s">
        <v>807</v>
      </c>
      <c r="L2" s="1" t="s">
        <v>284</v>
      </c>
      <c r="M2" s="3" t="s">
        <v>808</v>
      </c>
      <c r="N2" s="4" t="s">
        <v>809</v>
      </c>
    </row>
    <row r="3" spans="1:14" ht="67.5" customHeight="1">
      <c r="A3" s="50" t="s">
        <v>12</v>
      </c>
      <c r="B3" s="1" t="s">
        <v>810</v>
      </c>
      <c r="C3" s="1" t="s">
        <v>811</v>
      </c>
      <c r="D3" s="1" t="s">
        <v>812</v>
      </c>
      <c r="E3" s="1" t="s">
        <v>813</v>
      </c>
      <c r="F3" s="2" t="s">
        <v>804</v>
      </c>
      <c r="G3" s="1">
        <v>0.5</v>
      </c>
      <c r="H3" s="1" t="s">
        <v>814</v>
      </c>
      <c r="I3" s="1" t="s">
        <v>266</v>
      </c>
      <c r="J3" s="1" t="s">
        <v>815</v>
      </c>
      <c r="K3" s="1" t="s">
        <v>182</v>
      </c>
      <c r="L3" s="1" t="s">
        <v>302</v>
      </c>
      <c r="M3" s="3" t="s">
        <v>816</v>
      </c>
      <c r="N3" s="4" t="s">
        <v>285</v>
      </c>
    </row>
    <row r="4" spans="1:14" ht="67.5" customHeight="1">
      <c r="A4" s="50" t="s">
        <v>12</v>
      </c>
      <c r="B4" s="1" t="s">
        <v>810</v>
      </c>
      <c r="C4" s="1" t="s">
        <v>811</v>
      </c>
      <c r="D4" s="1" t="s">
        <v>817</v>
      </c>
      <c r="E4" s="1" t="s">
        <v>818</v>
      </c>
      <c r="F4" s="2" t="s">
        <v>819</v>
      </c>
      <c r="G4" s="1"/>
      <c r="H4" s="1"/>
      <c r="I4" s="1" t="s">
        <v>289</v>
      </c>
      <c r="J4" s="1" t="s">
        <v>820</v>
      </c>
      <c r="K4" s="1" t="s">
        <v>185</v>
      </c>
      <c r="L4" s="1" t="s">
        <v>302</v>
      </c>
      <c r="M4" s="3" t="s">
        <v>821</v>
      </c>
      <c r="N4" s="4" t="s">
        <v>285</v>
      </c>
    </row>
    <row r="5" spans="1:14" ht="67.5" customHeight="1">
      <c r="A5" s="50" t="s">
        <v>12</v>
      </c>
      <c r="B5" s="1" t="s">
        <v>810</v>
      </c>
      <c r="C5" s="1" t="s">
        <v>262</v>
      </c>
      <c r="D5" s="1" t="s">
        <v>822</v>
      </c>
      <c r="E5" s="1" t="s">
        <v>823</v>
      </c>
      <c r="F5" s="2" t="s">
        <v>819</v>
      </c>
      <c r="G5" s="1"/>
      <c r="H5" s="1"/>
      <c r="I5" s="1" t="s">
        <v>289</v>
      </c>
      <c r="J5" s="1" t="s">
        <v>824</v>
      </c>
      <c r="K5" s="1" t="s">
        <v>182</v>
      </c>
      <c r="L5" s="1" t="s">
        <v>284</v>
      </c>
      <c r="M5" s="3" t="s">
        <v>825</v>
      </c>
      <c r="N5" s="4" t="s">
        <v>826</v>
      </c>
    </row>
    <row r="6" spans="1:14" ht="67.5" customHeight="1">
      <c r="A6" s="50" t="s">
        <v>12</v>
      </c>
      <c r="B6" s="1" t="s">
        <v>810</v>
      </c>
      <c r="C6" s="1" t="s">
        <v>811</v>
      </c>
      <c r="D6" s="1" t="s">
        <v>827</v>
      </c>
      <c r="E6" s="1" t="s">
        <v>828</v>
      </c>
      <c r="F6" s="2" t="s">
        <v>819</v>
      </c>
      <c r="G6" s="1"/>
      <c r="H6" s="1"/>
      <c r="I6" s="1" t="s">
        <v>289</v>
      </c>
      <c r="J6" s="1" t="s">
        <v>820</v>
      </c>
      <c r="K6" s="1" t="s">
        <v>182</v>
      </c>
      <c r="L6" s="1" t="s">
        <v>284</v>
      </c>
      <c r="M6" s="3" t="s">
        <v>829</v>
      </c>
      <c r="N6" s="4" t="s">
        <v>285</v>
      </c>
    </row>
    <row r="7" spans="1:14" ht="67.5" customHeight="1">
      <c r="A7" s="50" t="s">
        <v>12</v>
      </c>
      <c r="B7" s="1" t="s">
        <v>800</v>
      </c>
      <c r="C7" s="1" t="s">
        <v>714</v>
      </c>
      <c r="D7" s="1" t="s">
        <v>830</v>
      </c>
      <c r="E7" s="1" t="s">
        <v>831</v>
      </c>
      <c r="F7" s="2" t="s">
        <v>819</v>
      </c>
      <c r="G7" s="1"/>
      <c r="H7" s="1"/>
      <c r="I7" s="1" t="s">
        <v>832</v>
      </c>
      <c r="J7" s="1" t="s">
        <v>833</v>
      </c>
      <c r="K7" s="1" t="s">
        <v>834</v>
      </c>
      <c r="L7" s="1" t="s">
        <v>284</v>
      </c>
      <c r="M7" s="3" t="s">
        <v>835</v>
      </c>
      <c r="N7" s="4" t="s">
        <v>836</v>
      </c>
    </row>
    <row r="8" spans="1:14" ht="67.5" customHeight="1">
      <c r="A8" s="50" t="s">
        <v>23</v>
      </c>
      <c r="B8" s="1" t="s">
        <v>800</v>
      </c>
      <c r="C8" s="1" t="s">
        <v>811</v>
      </c>
      <c r="D8" s="1" t="s">
        <v>837</v>
      </c>
      <c r="E8" s="1" t="s">
        <v>838</v>
      </c>
      <c r="F8" s="2" t="s">
        <v>804</v>
      </c>
      <c r="G8" s="1"/>
      <c r="H8" s="1"/>
      <c r="I8" s="1" t="s">
        <v>805</v>
      </c>
      <c r="J8" s="1" t="s">
        <v>429</v>
      </c>
      <c r="K8" s="1" t="s">
        <v>807</v>
      </c>
      <c r="L8" s="1" t="s">
        <v>284</v>
      </c>
      <c r="M8" s="3" t="s">
        <v>839</v>
      </c>
      <c r="N8" s="4" t="s">
        <v>430</v>
      </c>
    </row>
    <row r="9" spans="1:14" ht="67.5" customHeight="1">
      <c r="A9" s="50" t="s">
        <v>23</v>
      </c>
      <c r="B9" s="1" t="s">
        <v>800</v>
      </c>
      <c r="C9" s="1" t="s">
        <v>416</v>
      </c>
      <c r="D9" s="1" t="s">
        <v>840</v>
      </c>
      <c r="E9" s="1" t="s">
        <v>841</v>
      </c>
      <c r="F9" s="2" t="s">
        <v>804</v>
      </c>
      <c r="G9" s="1"/>
      <c r="H9" s="1"/>
      <c r="I9" s="1" t="s">
        <v>289</v>
      </c>
      <c r="J9" s="1" t="s">
        <v>418</v>
      </c>
      <c r="K9" s="1" t="s">
        <v>182</v>
      </c>
      <c r="L9" s="1" t="s">
        <v>284</v>
      </c>
      <c r="M9" s="3" t="s">
        <v>842</v>
      </c>
      <c r="N9" s="4" t="s">
        <v>419</v>
      </c>
    </row>
    <row r="10" spans="1:14" ht="67.5" customHeight="1">
      <c r="A10" s="50" t="s">
        <v>34</v>
      </c>
      <c r="B10" s="1" t="s">
        <v>800</v>
      </c>
      <c r="C10" s="1" t="s">
        <v>843</v>
      </c>
      <c r="D10" s="1" t="s">
        <v>802</v>
      </c>
      <c r="E10" s="1" t="s">
        <v>844</v>
      </c>
      <c r="F10" s="2" t="s">
        <v>804</v>
      </c>
      <c r="G10" s="1"/>
      <c r="H10" s="1"/>
      <c r="I10" s="1" t="s">
        <v>805</v>
      </c>
      <c r="J10" s="1" t="s">
        <v>806</v>
      </c>
      <c r="K10" s="1" t="s">
        <v>807</v>
      </c>
      <c r="L10" s="1" t="s">
        <v>284</v>
      </c>
      <c r="M10" s="3" t="s">
        <v>845</v>
      </c>
      <c r="N10" s="4" t="s">
        <v>809</v>
      </c>
    </row>
    <row r="11" spans="1:14" ht="67.5" customHeight="1">
      <c r="A11" s="50" t="s">
        <v>34</v>
      </c>
      <c r="B11" s="1" t="s">
        <v>800</v>
      </c>
      <c r="C11" s="1" t="s">
        <v>811</v>
      </c>
      <c r="D11" s="1" t="s">
        <v>846</v>
      </c>
      <c r="E11" s="1" t="s">
        <v>847</v>
      </c>
      <c r="F11" s="2" t="s">
        <v>804</v>
      </c>
      <c r="G11" s="1">
        <v>2</v>
      </c>
      <c r="H11" s="1" t="s">
        <v>848</v>
      </c>
      <c r="I11" s="1" t="s">
        <v>266</v>
      </c>
      <c r="J11" s="1" t="s">
        <v>497</v>
      </c>
      <c r="K11" s="1" t="s">
        <v>182</v>
      </c>
      <c r="L11" s="1" t="s">
        <v>302</v>
      </c>
      <c r="M11" s="3" t="s">
        <v>849</v>
      </c>
      <c r="N11" s="4" t="s">
        <v>468</v>
      </c>
    </row>
    <row r="12" spans="1:14" ht="67.5" customHeight="1">
      <c r="A12" s="50" t="s">
        <v>34</v>
      </c>
      <c r="B12" s="1" t="s">
        <v>850</v>
      </c>
      <c r="C12" s="1" t="s">
        <v>851</v>
      </c>
      <c r="D12" s="1" t="s">
        <v>852</v>
      </c>
      <c r="E12" s="1" t="s">
        <v>853</v>
      </c>
      <c r="F12" s="2" t="s">
        <v>819</v>
      </c>
      <c r="G12" s="1"/>
      <c r="H12" s="1"/>
      <c r="I12" s="1" t="s">
        <v>805</v>
      </c>
      <c r="J12" s="1" t="s">
        <v>854</v>
      </c>
      <c r="K12" s="1" t="s">
        <v>807</v>
      </c>
      <c r="L12" s="1" t="s">
        <v>284</v>
      </c>
      <c r="M12" s="3" t="s">
        <v>855</v>
      </c>
      <c r="N12" s="4" t="s">
        <v>856</v>
      </c>
    </row>
    <row r="13" spans="1:14" ht="67.5" customHeight="1">
      <c r="A13" s="50" t="s">
        <v>45</v>
      </c>
      <c r="B13" s="1" t="s">
        <v>800</v>
      </c>
      <c r="C13" s="1" t="s">
        <v>425</v>
      </c>
      <c r="D13" s="1" t="s">
        <v>857</v>
      </c>
      <c r="E13" s="1" t="s">
        <v>858</v>
      </c>
      <c r="F13" s="2" t="s">
        <v>804</v>
      </c>
      <c r="G13" s="1"/>
      <c r="H13" s="1"/>
      <c r="I13" s="1" t="s">
        <v>832</v>
      </c>
      <c r="J13" s="1" t="s">
        <v>859</v>
      </c>
      <c r="K13" s="1" t="s">
        <v>834</v>
      </c>
      <c r="L13" s="1" t="s">
        <v>284</v>
      </c>
      <c r="M13" s="3" t="s">
        <v>860</v>
      </c>
      <c r="N13" s="4" t="s">
        <v>861</v>
      </c>
    </row>
    <row r="14" spans="1:14" ht="67.5" customHeight="1">
      <c r="A14" s="50" t="s">
        <v>45</v>
      </c>
      <c r="B14" s="1" t="s">
        <v>800</v>
      </c>
      <c r="C14" s="1" t="s">
        <v>811</v>
      </c>
      <c r="D14" s="1" t="s">
        <v>862</v>
      </c>
      <c r="E14" s="1" t="s">
        <v>863</v>
      </c>
      <c r="F14" s="2" t="s">
        <v>804</v>
      </c>
      <c r="G14" s="1"/>
      <c r="H14" s="1"/>
      <c r="I14" s="1" t="s">
        <v>289</v>
      </c>
      <c r="J14" s="1" t="s">
        <v>864</v>
      </c>
      <c r="K14" s="1" t="s">
        <v>182</v>
      </c>
      <c r="L14" s="1" t="s">
        <v>302</v>
      </c>
      <c r="M14" s="3" t="s">
        <v>865</v>
      </c>
      <c r="N14" s="4" t="s">
        <v>519</v>
      </c>
    </row>
    <row r="15" spans="1:14" ht="67.5" customHeight="1">
      <c r="A15" s="50" t="s">
        <v>56</v>
      </c>
      <c r="B15" s="1" t="s">
        <v>800</v>
      </c>
      <c r="C15" s="1" t="s">
        <v>541</v>
      </c>
      <c r="D15" s="1" t="s">
        <v>866</v>
      </c>
      <c r="E15" s="1" t="s">
        <v>867</v>
      </c>
      <c r="F15" s="2" t="s">
        <v>804</v>
      </c>
      <c r="G15" s="1">
        <v>10</v>
      </c>
      <c r="H15" s="1" t="s">
        <v>868</v>
      </c>
      <c r="I15" s="1" t="s">
        <v>266</v>
      </c>
      <c r="J15" s="1" t="s">
        <v>545</v>
      </c>
      <c r="K15" s="1" t="s">
        <v>185</v>
      </c>
      <c r="L15" s="1" t="s">
        <v>284</v>
      </c>
      <c r="M15" s="3" t="s">
        <v>869</v>
      </c>
      <c r="N15" s="4" t="s">
        <v>546</v>
      </c>
    </row>
    <row r="16" spans="1:14" ht="67.5" customHeight="1">
      <c r="A16" s="50" t="s">
        <v>56</v>
      </c>
      <c r="B16" s="1" t="s">
        <v>800</v>
      </c>
      <c r="C16" s="1" t="s">
        <v>811</v>
      </c>
      <c r="D16" s="1" t="s">
        <v>870</v>
      </c>
      <c r="E16" s="1" t="s">
        <v>871</v>
      </c>
      <c r="F16" s="2" t="s">
        <v>804</v>
      </c>
      <c r="G16" s="1"/>
      <c r="H16" s="1"/>
      <c r="I16" s="1" t="s">
        <v>289</v>
      </c>
      <c r="J16" s="1" t="s">
        <v>549</v>
      </c>
      <c r="K16" s="1" t="s">
        <v>807</v>
      </c>
      <c r="L16" s="1" t="s">
        <v>284</v>
      </c>
      <c r="M16" s="3" t="s">
        <v>872</v>
      </c>
      <c r="N16" s="4" t="s">
        <v>550</v>
      </c>
    </row>
    <row r="17" spans="1:15" ht="67.5" customHeight="1">
      <c r="A17" s="50" t="s">
        <v>67</v>
      </c>
      <c r="B17" s="1" t="s">
        <v>800</v>
      </c>
      <c r="C17" s="1" t="s">
        <v>801</v>
      </c>
      <c r="D17" s="1" t="s">
        <v>802</v>
      </c>
      <c r="E17" s="1" t="s">
        <v>873</v>
      </c>
      <c r="F17" s="2" t="s">
        <v>804</v>
      </c>
      <c r="G17" s="1"/>
      <c r="H17" s="1"/>
      <c r="I17" s="1" t="s">
        <v>805</v>
      </c>
      <c r="J17" s="1" t="s">
        <v>806</v>
      </c>
      <c r="K17" s="1" t="s">
        <v>807</v>
      </c>
      <c r="L17" s="1" t="s">
        <v>284</v>
      </c>
      <c r="M17" s="3" t="s">
        <v>874</v>
      </c>
      <c r="N17" s="4" t="s">
        <v>809</v>
      </c>
    </row>
    <row r="18" spans="1:15" ht="67.5" customHeight="1">
      <c r="A18" s="50" t="s">
        <v>67</v>
      </c>
      <c r="B18" s="1" t="s">
        <v>810</v>
      </c>
      <c r="C18" s="1" t="s">
        <v>811</v>
      </c>
      <c r="D18" s="1" t="s">
        <v>875</v>
      </c>
      <c r="E18" s="1" t="s">
        <v>876</v>
      </c>
      <c r="F18" s="2" t="s">
        <v>804</v>
      </c>
      <c r="G18" s="1">
        <v>0.5</v>
      </c>
      <c r="H18" s="1" t="s">
        <v>877</v>
      </c>
      <c r="I18" s="1" t="s">
        <v>266</v>
      </c>
      <c r="J18" s="1" t="s">
        <v>878</v>
      </c>
      <c r="K18" s="1" t="s">
        <v>182</v>
      </c>
      <c r="L18" s="1" t="s">
        <v>302</v>
      </c>
      <c r="M18" s="3" t="s">
        <v>879</v>
      </c>
      <c r="N18" s="4" t="s">
        <v>285</v>
      </c>
    </row>
    <row r="19" spans="1:15" ht="67.5" customHeight="1">
      <c r="A19" s="50" t="s">
        <v>78</v>
      </c>
      <c r="B19" s="1" t="s">
        <v>800</v>
      </c>
      <c r="C19" s="1" t="s">
        <v>811</v>
      </c>
      <c r="D19" s="1" t="s">
        <v>880</v>
      </c>
      <c r="E19" s="1" t="s">
        <v>881</v>
      </c>
      <c r="F19" s="2" t="s">
        <v>804</v>
      </c>
      <c r="G19" s="1"/>
      <c r="H19" s="1"/>
      <c r="I19" s="1" t="s">
        <v>289</v>
      </c>
      <c r="J19" s="1" t="s">
        <v>622</v>
      </c>
      <c r="K19" s="1" t="s">
        <v>182</v>
      </c>
      <c r="L19" s="1" t="s">
        <v>302</v>
      </c>
      <c r="M19" s="3" t="s">
        <v>882</v>
      </c>
      <c r="N19" s="4" t="s">
        <v>623</v>
      </c>
    </row>
    <row r="20" spans="1:15" ht="67.5" customHeight="1">
      <c r="A20" s="50" t="s">
        <v>78</v>
      </c>
      <c r="B20" s="1" t="s">
        <v>800</v>
      </c>
      <c r="C20" s="1" t="s">
        <v>883</v>
      </c>
      <c r="D20" s="1" t="s">
        <v>884</v>
      </c>
      <c r="E20" s="1" t="s">
        <v>885</v>
      </c>
      <c r="F20" s="2" t="s">
        <v>886</v>
      </c>
      <c r="G20" s="1"/>
      <c r="H20" s="1"/>
      <c r="I20" s="1" t="s">
        <v>276</v>
      </c>
      <c r="J20" s="1" t="s">
        <v>887</v>
      </c>
      <c r="K20" s="1" t="s">
        <v>886</v>
      </c>
      <c r="L20" s="1" t="s">
        <v>284</v>
      </c>
      <c r="M20" s="3" t="s">
        <v>888</v>
      </c>
      <c r="N20" s="4" t="s">
        <v>623</v>
      </c>
    </row>
    <row r="21" spans="1:15" ht="67.5" customHeight="1">
      <c r="A21" s="50" t="s">
        <v>89</v>
      </c>
      <c r="B21" s="1" t="s">
        <v>800</v>
      </c>
      <c r="C21" s="1" t="s">
        <v>811</v>
      </c>
      <c r="D21" s="1" t="s">
        <v>889</v>
      </c>
      <c r="E21" s="1" t="s">
        <v>890</v>
      </c>
      <c r="F21" s="2" t="s">
        <v>804</v>
      </c>
      <c r="G21" s="1"/>
      <c r="H21" s="1"/>
      <c r="I21" s="1" t="s">
        <v>289</v>
      </c>
      <c r="J21" s="1" t="s">
        <v>660</v>
      </c>
      <c r="K21" s="1" t="s">
        <v>182</v>
      </c>
      <c r="L21" s="1" t="s">
        <v>302</v>
      </c>
      <c r="M21" s="3" t="s">
        <v>891</v>
      </c>
      <c r="N21" s="4" t="s">
        <v>656</v>
      </c>
    </row>
    <row r="22" spans="1:15" ht="67.5" customHeight="1">
      <c r="A22" s="50" t="s">
        <v>89</v>
      </c>
      <c r="B22" s="1" t="s">
        <v>892</v>
      </c>
      <c r="C22" s="1" t="s">
        <v>893</v>
      </c>
      <c r="D22" s="1" t="s">
        <v>894</v>
      </c>
      <c r="E22" s="1" t="s">
        <v>895</v>
      </c>
      <c r="F22" s="2" t="s">
        <v>819</v>
      </c>
      <c r="G22" s="1"/>
      <c r="H22" s="1"/>
      <c r="I22" s="1" t="s">
        <v>896</v>
      </c>
      <c r="J22" s="1" t="s">
        <v>675</v>
      </c>
      <c r="K22" s="1" t="s">
        <v>897</v>
      </c>
      <c r="L22" s="1" t="s">
        <v>339</v>
      </c>
      <c r="M22" s="3" t="s">
        <v>898</v>
      </c>
      <c r="N22" s="4" t="s">
        <v>676</v>
      </c>
    </row>
    <row r="23" spans="1:15" ht="67.5" customHeight="1">
      <c r="A23" s="50" t="s">
        <v>89</v>
      </c>
      <c r="B23" s="1" t="s">
        <v>800</v>
      </c>
      <c r="C23" s="1" t="s">
        <v>883</v>
      </c>
      <c r="D23" s="1" t="s">
        <v>899</v>
      </c>
      <c r="E23" s="1" t="s">
        <v>900</v>
      </c>
      <c r="F23" s="2" t="s">
        <v>886</v>
      </c>
      <c r="G23" s="1"/>
      <c r="H23" s="1"/>
      <c r="I23" s="1" t="s">
        <v>276</v>
      </c>
      <c r="J23" s="1" t="s">
        <v>887</v>
      </c>
      <c r="K23" s="1" t="s">
        <v>886</v>
      </c>
      <c r="L23" s="1" t="s">
        <v>284</v>
      </c>
      <c r="M23" s="3" t="s">
        <v>901</v>
      </c>
      <c r="N23" s="4" t="s">
        <v>656</v>
      </c>
    </row>
    <row r="24" spans="1:15" ht="67.5" customHeight="1">
      <c r="A24" s="50" t="s">
        <v>100</v>
      </c>
      <c r="B24" s="1" t="s">
        <v>800</v>
      </c>
      <c r="C24" s="1" t="s">
        <v>385</v>
      </c>
      <c r="D24" s="1" t="s">
        <v>902</v>
      </c>
      <c r="E24" s="1" t="s">
        <v>903</v>
      </c>
      <c r="F24" s="2" t="s">
        <v>804</v>
      </c>
      <c r="G24" s="1"/>
      <c r="H24" s="1"/>
      <c r="I24" s="1" t="s">
        <v>289</v>
      </c>
      <c r="J24" s="1" t="s">
        <v>705</v>
      </c>
      <c r="K24" s="1" t="s">
        <v>182</v>
      </c>
      <c r="L24" s="1" t="s">
        <v>284</v>
      </c>
      <c r="M24" s="3" t="s">
        <v>904</v>
      </c>
      <c r="N24" s="4" t="s">
        <v>706</v>
      </c>
    </row>
    <row r="25" spans="1:15" ht="67.5" customHeight="1">
      <c r="A25" s="50" t="s">
        <v>100</v>
      </c>
      <c r="B25" s="1" t="s">
        <v>800</v>
      </c>
      <c r="C25" s="1" t="s">
        <v>905</v>
      </c>
      <c r="D25" s="1" t="s">
        <v>906</v>
      </c>
      <c r="E25" s="1" t="s">
        <v>907</v>
      </c>
      <c r="F25" s="2" t="s">
        <v>804</v>
      </c>
      <c r="G25" s="1"/>
      <c r="H25" s="1"/>
      <c r="I25" s="1" t="s">
        <v>289</v>
      </c>
      <c r="J25" s="1" t="s">
        <v>908</v>
      </c>
      <c r="K25" s="1" t="s">
        <v>807</v>
      </c>
      <c r="L25" s="1" t="s">
        <v>284</v>
      </c>
      <c r="M25" s="3" t="s">
        <v>909</v>
      </c>
      <c r="N25" s="4" t="s">
        <v>734</v>
      </c>
    </row>
    <row r="26" spans="1:15" ht="67.5" customHeight="1">
      <c r="A26" s="50" t="s">
        <v>100</v>
      </c>
      <c r="B26" s="1" t="s">
        <v>800</v>
      </c>
      <c r="C26" s="1" t="s">
        <v>425</v>
      </c>
      <c r="D26" s="1" t="s">
        <v>910</v>
      </c>
      <c r="E26" s="1" t="s">
        <v>911</v>
      </c>
      <c r="F26" s="2" t="s">
        <v>819</v>
      </c>
      <c r="G26" s="1"/>
      <c r="H26" s="1"/>
      <c r="I26" s="1" t="s">
        <v>289</v>
      </c>
      <c r="J26" s="1" t="s">
        <v>908</v>
      </c>
      <c r="K26" s="1" t="s">
        <v>185</v>
      </c>
      <c r="L26" s="1" t="s">
        <v>284</v>
      </c>
      <c r="M26" s="3" t="s">
        <v>912</v>
      </c>
      <c r="N26" s="4" t="s">
        <v>734</v>
      </c>
    </row>
    <row r="27" spans="1:15" ht="67.5" customHeight="1">
      <c r="A27" s="50" t="s">
        <v>111</v>
      </c>
      <c r="B27" s="1" t="s">
        <v>800</v>
      </c>
      <c r="C27" s="1" t="s">
        <v>883</v>
      </c>
      <c r="D27" s="1" t="s">
        <v>913</v>
      </c>
      <c r="E27" s="1" t="s">
        <v>914</v>
      </c>
      <c r="F27" s="2" t="s">
        <v>804</v>
      </c>
      <c r="G27" s="1"/>
      <c r="H27" s="1"/>
      <c r="I27" s="1" t="s">
        <v>276</v>
      </c>
      <c r="J27" s="1" t="s">
        <v>915</v>
      </c>
      <c r="K27" s="1" t="s">
        <v>886</v>
      </c>
      <c r="L27" s="1" t="s">
        <v>284</v>
      </c>
      <c r="M27" s="3" t="s">
        <v>916</v>
      </c>
      <c r="N27" s="4" t="s">
        <v>761</v>
      </c>
    </row>
    <row r="28" spans="1:15" ht="67.5" customHeight="1">
      <c r="A28" s="50" t="s">
        <v>111</v>
      </c>
      <c r="B28" s="1" t="s">
        <v>917</v>
      </c>
      <c r="C28" s="1" t="s">
        <v>918</v>
      </c>
      <c r="D28" s="1" t="s">
        <v>919</v>
      </c>
      <c r="E28" s="1" t="s">
        <v>920</v>
      </c>
      <c r="F28" s="2" t="s">
        <v>804</v>
      </c>
      <c r="G28" s="1"/>
      <c r="H28" s="1"/>
      <c r="I28" s="1" t="s">
        <v>921</v>
      </c>
      <c r="J28" s="1" t="s">
        <v>922</v>
      </c>
      <c r="K28" s="1" t="s">
        <v>182</v>
      </c>
      <c r="L28" s="1" t="s">
        <v>284</v>
      </c>
      <c r="M28" s="3" t="s">
        <v>923</v>
      </c>
      <c r="N28" s="4" t="s">
        <v>778</v>
      </c>
    </row>
    <row r="29" spans="1:15" ht="67.5" customHeight="1">
      <c r="A29" s="50" t="s">
        <v>111</v>
      </c>
      <c r="B29" s="1" t="s">
        <v>924</v>
      </c>
      <c r="C29" s="1" t="s">
        <v>925</v>
      </c>
      <c r="D29" s="1" t="s">
        <v>926</v>
      </c>
      <c r="E29" s="1" t="s">
        <v>927</v>
      </c>
      <c r="F29" s="5" t="s">
        <v>819</v>
      </c>
      <c r="G29" s="1"/>
      <c r="H29" s="1"/>
      <c r="I29" s="29" t="s">
        <v>289</v>
      </c>
      <c r="J29" s="1" t="s">
        <v>928</v>
      </c>
      <c r="K29" s="29" t="s">
        <v>182</v>
      </c>
      <c r="L29" s="29" t="s">
        <v>302</v>
      </c>
      <c r="M29" s="6" t="s">
        <v>929</v>
      </c>
      <c r="N29" s="4" t="s">
        <v>930</v>
      </c>
    </row>
    <row r="30" spans="1:15" s="21" customFormat="1" ht="86.25" customHeight="1">
      <c r="A30" s="57" t="s">
        <v>111</v>
      </c>
      <c r="B30" s="21" t="s">
        <v>800</v>
      </c>
      <c r="C30" s="21" t="s">
        <v>931</v>
      </c>
      <c r="D30" s="21" t="s">
        <v>932</v>
      </c>
      <c r="E30" s="22" t="s">
        <v>933</v>
      </c>
      <c r="F30" s="27" t="s">
        <v>819</v>
      </c>
      <c r="G30"/>
      <c r="H30"/>
      <c r="I30" s="21" t="s">
        <v>289</v>
      </c>
      <c r="J30" s="21" t="s">
        <v>934</v>
      </c>
      <c r="K30" s="29" t="s">
        <v>182</v>
      </c>
      <c r="L30" s="22" t="s">
        <v>935</v>
      </c>
      <c r="M30" s="28" t="s">
        <v>936</v>
      </c>
      <c r="N30" s="25" t="s">
        <v>937</v>
      </c>
      <c r="O30" s="24"/>
    </row>
    <row r="31" spans="1:15" ht="71.25" customHeight="1">
      <c r="A31" s="57" t="s">
        <v>111</v>
      </c>
      <c r="B31" s="21" t="s">
        <v>938</v>
      </c>
      <c r="C31" s="21" t="s">
        <v>939</v>
      </c>
      <c r="D31" s="21" t="s">
        <v>940</v>
      </c>
      <c r="E31" s="22" t="s">
        <v>933</v>
      </c>
      <c r="F31" s="23" t="s">
        <v>288</v>
      </c>
      <c r="G31" s="21"/>
      <c r="H31" s="21"/>
      <c r="I31" s="21" t="s">
        <v>941</v>
      </c>
      <c r="J31" s="21" t="s">
        <v>942</v>
      </c>
      <c r="K31" s="29" t="s">
        <v>290</v>
      </c>
      <c r="L31" s="22" t="s">
        <v>943</v>
      </c>
      <c r="M31" s="26" t="s">
        <v>936</v>
      </c>
      <c r="N31" s="25" t="s">
        <v>937</v>
      </c>
    </row>
    <row r="32" spans="1: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N30" r:id="rId1" xr:uid="{00000000-0004-0000-0700-000000000000}"/>
    <hyperlink ref="N31" r:id="rId2" xr:uid="{00000000-0004-0000-0700-000001000000}"/>
  </hyperlinks>
  <pageMargins left="0.7" right="0.7" top="0.75" bottom="0.75" header="0.3" footer="0.3"/>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99"/>
  <sheetViews>
    <sheetView workbookViewId="0">
      <selection sqref="A1:G1"/>
    </sheetView>
  </sheetViews>
  <sheetFormatPr defaultColWidth="12.625" defaultRowHeight="14.25"/>
  <cols>
    <col min="1" max="2" width="38" customWidth="1"/>
    <col min="3" max="3" width="35" customWidth="1"/>
    <col min="4" max="4" width="48" customWidth="1"/>
    <col min="5" max="5" width="14" customWidth="1"/>
    <col min="6" max="6" width="34" customWidth="1"/>
    <col min="7" max="7" width="68" customWidth="1"/>
    <col min="8" max="26" width="8.625" customWidth="1"/>
  </cols>
  <sheetData>
    <row r="1" spans="1:7" ht="30" customHeight="1">
      <c r="A1" s="85" t="s">
        <v>944</v>
      </c>
      <c r="B1" s="86"/>
      <c r="C1" s="86"/>
      <c r="D1" s="86"/>
      <c r="E1" s="86"/>
      <c r="F1" s="86"/>
      <c r="G1" s="86"/>
    </row>
    <row r="2" spans="1:7" ht="31.5" customHeight="1">
      <c r="A2" s="54" t="s">
        <v>945</v>
      </c>
      <c r="B2" s="54" t="s">
        <v>1</v>
      </c>
      <c r="C2" s="54" t="s">
        <v>946</v>
      </c>
      <c r="D2" s="54" t="s">
        <v>253</v>
      </c>
      <c r="E2" s="54" t="s">
        <v>947</v>
      </c>
      <c r="F2" s="54" t="s">
        <v>948</v>
      </c>
      <c r="G2" s="54" t="s">
        <v>949</v>
      </c>
    </row>
    <row r="3" spans="1:7" ht="42" customHeight="1">
      <c r="A3" s="1" t="s">
        <v>687</v>
      </c>
      <c r="B3" s="1" t="s">
        <v>89</v>
      </c>
      <c r="C3" s="1" t="s">
        <v>8</v>
      </c>
      <c r="D3" s="1" t="s">
        <v>266</v>
      </c>
      <c r="E3" s="1">
        <v>1</v>
      </c>
      <c r="F3" s="1" t="s">
        <v>950</v>
      </c>
      <c r="G3" s="4" t="s">
        <v>688</v>
      </c>
    </row>
    <row r="4" spans="1:7" ht="42" customHeight="1">
      <c r="A4" s="1" t="s">
        <v>675</v>
      </c>
      <c r="B4" s="1" t="s">
        <v>89</v>
      </c>
      <c r="C4" s="1" t="s">
        <v>951</v>
      </c>
      <c r="D4" s="1" t="s">
        <v>952</v>
      </c>
      <c r="E4" s="1">
        <v>3</v>
      </c>
      <c r="F4" s="1" t="s">
        <v>950</v>
      </c>
      <c r="G4" s="4" t="s">
        <v>676</v>
      </c>
    </row>
    <row r="5" spans="1:7" ht="42" customHeight="1">
      <c r="A5" s="1" t="s">
        <v>953</v>
      </c>
      <c r="B5" s="1" t="s">
        <v>89</v>
      </c>
      <c r="C5" s="1" t="s">
        <v>954</v>
      </c>
      <c r="D5" s="1" t="s">
        <v>955</v>
      </c>
      <c r="E5" s="1">
        <v>9</v>
      </c>
      <c r="F5" s="1" t="s">
        <v>950</v>
      </c>
      <c r="G5" s="4" t="s">
        <v>656</v>
      </c>
    </row>
    <row r="6" spans="1:7" ht="42" customHeight="1">
      <c r="A6" s="1" t="s">
        <v>700</v>
      </c>
      <c r="B6" s="1" t="s">
        <v>89</v>
      </c>
      <c r="C6" s="1" t="s">
        <v>10</v>
      </c>
      <c r="D6" s="1" t="s">
        <v>289</v>
      </c>
      <c r="E6" s="1">
        <v>1</v>
      </c>
      <c r="F6" s="1" t="s">
        <v>950</v>
      </c>
      <c r="G6" s="4" t="s">
        <v>701</v>
      </c>
    </row>
    <row r="7" spans="1:7" ht="42" customHeight="1">
      <c r="A7" s="1" t="s">
        <v>956</v>
      </c>
      <c r="B7" s="1" t="s">
        <v>957</v>
      </c>
      <c r="C7" s="1" t="s">
        <v>958</v>
      </c>
      <c r="D7" s="1" t="s">
        <v>959</v>
      </c>
      <c r="E7" s="1">
        <v>7</v>
      </c>
      <c r="F7" s="1" t="s">
        <v>950</v>
      </c>
      <c r="G7" s="4" t="s">
        <v>761</v>
      </c>
    </row>
    <row r="8" spans="1:7" ht="42" customHeight="1">
      <c r="A8" s="1" t="s">
        <v>928</v>
      </c>
      <c r="B8" s="1" t="s">
        <v>957</v>
      </c>
      <c r="C8" s="1" t="s">
        <v>960</v>
      </c>
      <c r="D8" s="1" t="s">
        <v>289</v>
      </c>
      <c r="E8" s="1">
        <v>1</v>
      </c>
      <c r="F8" s="1" t="s">
        <v>961</v>
      </c>
      <c r="G8" s="4" t="s">
        <v>930</v>
      </c>
    </row>
    <row r="9" spans="1:7" ht="42" customHeight="1">
      <c r="A9" s="1" t="s">
        <v>962</v>
      </c>
      <c r="B9" s="1" t="s">
        <v>957</v>
      </c>
      <c r="C9" s="1" t="s">
        <v>951</v>
      </c>
      <c r="D9" s="1" t="s">
        <v>963</v>
      </c>
      <c r="E9" s="1">
        <v>2</v>
      </c>
      <c r="F9" s="1" t="s">
        <v>961</v>
      </c>
      <c r="G9" s="4" t="s">
        <v>778</v>
      </c>
    </row>
    <row r="10" spans="1:7" ht="42" customHeight="1">
      <c r="A10" s="1" t="s">
        <v>750</v>
      </c>
      <c r="B10" s="1" t="s">
        <v>957</v>
      </c>
      <c r="C10" s="1" t="s">
        <v>3</v>
      </c>
      <c r="D10" s="1" t="s">
        <v>266</v>
      </c>
      <c r="E10" s="1">
        <v>1</v>
      </c>
      <c r="F10" s="1" t="s">
        <v>950</v>
      </c>
      <c r="G10" s="4" t="s">
        <v>751</v>
      </c>
    </row>
    <row r="11" spans="1:7" ht="42" customHeight="1">
      <c r="A11" s="1" t="s">
        <v>757</v>
      </c>
      <c r="B11" s="1" t="s">
        <v>957</v>
      </c>
      <c r="C11" s="1" t="s">
        <v>3</v>
      </c>
      <c r="D11" s="1" t="s">
        <v>266</v>
      </c>
      <c r="E11" s="1">
        <v>1</v>
      </c>
      <c r="F11" s="1" t="s">
        <v>950</v>
      </c>
      <c r="G11" s="4" t="s">
        <v>758</v>
      </c>
    </row>
    <row r="12" spans="1:7" ht="42" customHeight="1">
      <c r="A12" s="1" t="s">
        <v>854</v>
      </c>
      <c r="B12" s="1" t="s">
        <v>34</v>
      </c>
      <c r="C12" s="1" t="s">
        <v>960</v>
      </c>
      <c r="D12" s="1" t="s">
        <v>805</v>
      </c>
      <c r="E12" s="1">
        <v>1</v>
      </c>
      <c r="F12" s="1" t="s">
        <v>961</v>
      </c>
      <c r="G12" s="4" t="s">
        <v>856</v>
      </c>
    </row>
    <row r="13" spans="1:7" ht="42" customHeight="1">
      <c r="A13" s="1" t="s">
        <v>486</v>
      </c>
      <c r="B13" s="1" t="s">
        <v>34</v>
      </c>
      <c r="C13" s="1" t="s">
        <v>7</v>
      </c>
      <c r="D13" s="1" t="s">
        <v>266</v>
      </c>
      <c r="E13" s="1">
        <v>1</v>
      </c>
      <c r="F13" s="1" t="s">
        <v>950</v>
      </c>
      <c r="G13" s="4" t="s">
        <v>487</v>
      </c>
    </row>
    <row r="14" spans="1:7" ht="42" customHeight="1">
      <c r="A14" s="1" t="s">
        <v>491</v>
      </c>
      <c r="B14" s="1" t="s">
        <v>34</v>
      </c>
      <c r="C14" s="1" t="s">
        <v>964</v>
      </c>
      <c r="D14" s="1" t="s">
        <v>289</v>
      </c>
      <c r="E14" s="1">
        <v>3</v>
      </c>
      <c r="F14" s="1" t="s">
        <v>950</v>
      </c>
      <c r="G14" s="4" t="s">
        <v>492</v>
      </c>
    </row>
    <row r="15" spans="1:7" ht="42" customHeight="1">
      <c r="A15" s="1" t="s">
        <v>965</v>
      </c>
      <c r="B15" s="1" t="s">
        <v>34</v>
      </c>
      <c r="C15" s="1" t="s">
        <v>966</v>
      </c>
      <c r="D15" s="1" t="s">
        <v>955</v>
      </c>
      <c r="E15" s="1">
        <v>8</v>
      </c>
      <c r="F15" s="1" t="s">
        <v>950</v>
      </c>
      <c r="G15" s="4" t="s">
        <v>468</v>
      </c>
    </row>
    <row r="16" spans="1:7" ht="42" customHeight="1">
      <c r="A16" s="1" t="s">
        <v>474</v>
      </c>
      <c r="B16" s="1" t="s">
        <v>34</v>
      </c>
      <c r="C16" s="1" t="s">
        <v>967</v>
      </c>
      <c r="D16" s="1" t="s">
        <v>266</v>
      </c>
      <c r="E16" s="1">
        <v>2</v>
      </c>
      <c r="F16" s="1" t="s">
        <v>950</v>
      </c>
      <c r="G16" s="4" t="s">
        <v>475</v>
      </c>
    </row>
    <row r="17" spans="1:7" ht="42" customHeight="1">
      <c r="A17" s="1" t="s">
        <v>806</v>
      </c>
      <c r="B17" s="1" t="s">
        <v>968</v>
      </c>
      <c r="C17" s="1" t="s">
        <v>960</v>
      </c>
      <c r="D17" s="1" t="s">
        <v>805</v>
      </c>
      <c r="E17" s="1">
        <v>3</v>
      </c>
      <c r="F17" s="1" t="s">
        <v>961</v>
      </c>
      <c r="G17" s="4" t="s">
        <v>809</v>
      </c>
    </row>
    <row r="18" spans="1:7" ht="42" customHeight="1">
      <c r="A18" s="1" t="s">
        <v>448</v>
      </c>
      <c r="B18" s="1" t="s">
        <v>23</v>
      </c>
      <c r="C18" s="1" t="s">
        <v>7</v>
      </c>
      <c r="D18" s="1" t="s">
        <v>266</v>
      </c>
      <c r="E18" s="1">
        <v>1</v>
      </c>
      <c r="F18" s="1" t="s">
        <v>950</v>
      </c>
      <c r="G18" s="4" t="s">
        <v>449</v>
      </c>
    </row>
    <row r="19" spans="1:7" ht="42" customHeight="1">
      <c r="A19" s="1" t="s">
        <v>458</v>
      </c>
      <c r="B19" s="1" t="s">
        <v>23</v>
      </c>
      <c r="C19" s="1" t="s">
        <v>8</v>
      </c>
      <c r="D19" s="1" t="s">
        <v>289</v>
      </c>
      <c r="E19" s="1">
        <v>1</v>
      </c>
      <c r="F19" s="1" t="s">
        <v>950</v>
      </c>
      <c r="G19" s="4" t="s">
        <v>459</v>
      </c>
    </row>
    <row r="20" spans="1:7" ht="42" customHeight="1">
      <c r="A20" s="1" t="s">
        <v>439</v>
      </c>
      <c r="B20" s="1" t="s">
        <v>23</v>
      </c>
      <c r="C20" s="1" t="s">
        <v>969</v>
      </c>
      <c r="D20" s="1" t="s">
        <v>970</v>
      </c>
      <c r="E20" s="1">
        <v>2</v>
      </c>
      <c r="F20" s="1" t="s">
        <v>950</v>
      </c>
      <c r="G20" s="4" t="s">
        <v>440</v>
      </c>
    </row>
    <row r="21" spans="1:7" ht="42" customHeight="1">
      <c r="A21" s="1" t="s">
        <v>453</v>
      </c>
      <c r="B21" s="1" t="s">
        <v>23</v>
      </c>
      <c r="C21" s="1" t="s">
        <v>971</v>
      </c>
      <c r="D21" s="1" t="s">
        <v>289</v>
      </c>
      <c r="E21" s="1">
        <v>2</v>
      </c>
      <c r="F21" s="1" t="s">
        <v>950</v>
      </c>
      <c r="G21" s="4" t="s">
        <v>454</v>
      </c>
    </row>
    <row r="22" spans="1:7" ht="42" customHeight="1">
      <c r="A22" s="1" t="s">
        <v>418</v>
      </c>
      <c r="B22" s="1" t="s">
        <v>23</v>
      </c>
      <c r="C22" s="1" t="s">
        <v>972</v>
      </c>
      <c r="D22" s="1" t="s">
        <v>289</v>
      </c>
      <c r="E22" s="1">
        <v>5</v>
      </c>
      <c r="F22" s="1" t="s">
        <v>950</v>
      </c>
      <c r="G22" s="4" t="s">
        <v>419</v>
      </c>
    </row>
    <row r="23" spans="1:7" ht="42" customHeight="1">
      <c r="A23" s="1" t="s">
        <v>429</v>
      </c>
      <c r="B23" s="1" t="s">
        <v>23</v>
      </c>
      <c r="C23" s="1" t="s">
        <v>973</v>
      </c>
      <c r="D23" s="1" t="s">
        <v>974</v>
      </c>
      <c r="E23" s="1">
        <v>3</v>
      </c>
      <c r="F23" s="1" t="s">
        <v>961</v>
      </c>
      <c r="G23" s="4" t="s">
        <v>430</v>
      </c>
    </row>
    <row r="24" spans="1:7" ht="42" customHeight="1">
      <c r="A24" s="1" t="s">
        <v>975</v>
      </c>
      <c r="B24" s="1" t="s">
        <v>78</v>
      </c>
      <c r="C24" s="1" t="s">
        <v>976</v>
      </c>
      <c r="D24" s="1" t="s">
        <v>955</v>
      </c>
      <c r="E24" s="1">
        <v>10</v>
      </c>
      <c r="F24" s="1" t="s">
        <v>950</v>
      </c>
      <c r="G24" s="4" t="s">
        <v>623</v>
      </c>
    </row>
    <row r="25" spans="1:7" ht="42" customHeight="1">
      <c r="A25" s="1" t="s">
        <v>635</v>
      </c>
      <c r="B25" s="1" t="s">
        <v>78</v>
      </c>
      <c r="C25" s="1" t="s">
        <v>7</v>
      </c>
      <c r="D25" s="1" t="s">
        <v>336</v>
      </c>
      <c r="E25" s="1">
        <v>1</v>
      </c>
      <c r="F25" s="1" t="s">
        <v>961</v>
      </c>
      <c r="G25" s="4" t="s">
        <v>636</v>
      </c>
    </row>
    <row r="26" spans="1:7" ht="42" customHeight="1">
      <c r="A26" s="1" t="s">
        <v>653</v>
      </c>
      <c r="B26" s="1" t="s">
        <v>78</v>
      </c>
      <c r="C26" s="1" t="s">
        <v>10</v>
      </c>
      <c r="D26" s="1" t="s">
        <v>336</v>
      </c>
      <c r="E26" s="1">
        <v>1</v>
      </c>
      <c r="F26" s="1" t="s">
        <v>961</v>
      </c>
      <c r="G26" s="4" t="s">
        <v>654</v>
      </c>
    </row>
    <row r="27" spans="1:7" ht="42" customHeight="1">
      <c r="A27" s="1" t="s">
        <v>977</v>
      </c>
      <c r="B27" s="1" t="s">
        <v>100</v>
      </c>
      <c r="C27" s="1" t="s">
        <v>978</v>
      </c>
      <c r="D27" s="1" t="s">
        <v>970</v>
      </c>
      <c r="E27" s="1">
        <v>3</v>
      </c>
      <c r="F27" s="1" t="s">
        <v>950</v>
      </c>
      <c r="G27" s="4" t="s">
        <v>734</v>
      </c>
    </row>
    <row r="28" spans="1:7" ht="42" customHeight="1">
      <c r="A28" s="1" t="s">
        <v>733</v>
      </c>
      <c r="B28" s="1" t="s">
        <v>100</v>
      </c>
      <c r="C28" s="1" t="s">
        <v>10</v>
      </c>
      <c r="D28" s="1" t="s">
        <v>289</v>
      </c>
      <c r="E28" s="1">
        <v>1</v>
      </c>
      <c r="F28" s="1" t="s">
        <v>950</v>
      </c>
      <c r="G28" s="4" t="s">
        <v>741</v>
      </c>
    </row>
    <row r="29" spans="1:7" ht="42" customHeight="1">
      <c r="A29" s="1" t="s">
        <v>718</v>
      </c>
      <c r="B29" s="1" t="s">
        <v>100</v>
      </c>
      <c r="C29" s="1" t="s">
        <v>5</v>
      </c>
      <c r="D29" s="1" t="s">
        <v>266</v>
      </c>
      <c r="E29" s="1">
        <v>1</v>
      </c>
      <c r="F29" s="1" t="s">
        <v>950</v>
      </c>
      <c r="G29" s="4" t="s">
        <v>719</v>
      </c>
    </row>
    <row r="30" spans="1:7" ht="42" customHeight="1">
      <c r="A30" s="1" t="s">
        <v>705</v>
      </c>
      <c r="B30" s="1" t="s">
        <v>100</v>
      </c>
      <c r="C30" s="1" t="s">
        <v>976</v>
      </c>
      <c r="D30" s="1" t="s">
        <v>970</v>
      </c>
      <c r="E30" s="1">
        <v>10</v>
      </c>
      <c r="F30" s="1" t="s">
        <v>950</v>
      </c>
      <c r="G30" s="4" t="s">
        <v>706</v>
      </c>
    </row>
    <row r="31" spans="1:7" ht="57.75" customHeight="1">
      <c r="A31" s="1" t="s">
        <v>979</v>
      </c>
      <c r="B31" s="1" t="s">
        <v>67</v>
      </c>
      <c r="C31" s="1" t="s">
        <v>980</v>
      </c>
      <c r="D31" s="1" t="s">
        <v>970</v>
      </c>
      <c r="E31" s="1">
        <v>11</v>
      </c>
      <c r="F31" s="1" t="s">
        <v>950</v>
      </c>
      <c r="G31" s="4" t="s">
        <v>587</v>
      </c>
    </row>
    <row r="32" spans="1:7" ht="42" customHeight="1">
      <c r="A32" s="1" t="s">
        <v>582</v>
      </c>
      <c r="B32" s="1" t="s">
        <v>67</v>
      </c>
      <c r="C32" s="1" t="s">
        <v>3</v>
      </c>
      <c r="D32" s="1" t="s">
        <v>289</v>
      </c>
      <c r="E32" s="1">
        <v>1</v>
      </c>
      <c r="F32" s="1" t="s">
        <v>950</v>
      </c>
      <c r="G32" s="4" t="s">
        <v>583</v>
      </c>
    </row>
    <row r="33" spans="1:7" ht="42" customHeight="1">
      <c r="A33" s="1" t="s">
        <v>981</v>
      </c>
      <c r="B33" s="1" t="s">
        <v>982</v>
      </c>
      <c r="C33" s="1" t="s">
        <v>983</v>
      </c>
      <c r="D33" s="1" t="s">
        <v>955</v>
      </c>
      <c r="E33" s="1">
        <v>5</v>
      </c>
      <c r="F33" s="1" t="s">
        <v>950</v>
      </c>
      <c r="G33" s="4" t="s">
        <v>285</v>
      </c>
    </row>
    <row r="34" spans="1:7" ht="42" customHeight="1">
      <c r="A34" s="1" t="s">
        <v>340</v>
      </c>
      <c r="B34" s="1" t="s">
        <v>12</v>
      </c>
      <c r="C34" s="1" t="s">
        <v>969</v>
      </c>
      <c r="D34" s="1" t="s">
        <v>336</v>
      </c>
      <c r="E34" s="1">
        <v>2</v>
      </c>
      <c r="F34" s="1" t="s">
        <v>961</v>
      </c>
      <c r="G34" s="4" t="s">
        <v>341</v>
      </c>
    </row>
    <row r="35" spans="1:7" ht="42" customHeight="1">
      <c r="A35" s="1" t="s">
        <v>340</v>
      </c>
      <c r="B35" s="1" t="s">
        <v>12</v>
      </c>
      <c r="C35" s="1" t="s">
        <v>7</v>
      </c>
      <c r="D35" s="1" t="s">
        <v>336</v>
      </c>
      <c r="E35" s="1">
        <v>2</v>
      </c>
      <c r="F35" s="1" t="s">
        <v>961</v>
      </c>
      <c r="G35" s="4" t="s">
        <v>348</v>
      </c>
    </row>
    <row r="36" spans="1:7" ht="42" customHeight="1">
      <c r="A36" s="1" t="s">
        <v>340</v>
      </c>
      <c r="B36" s="1" t="s">
        <v>12</v>
      </c>
      <c r="C36" s="1" t="s">
        <v>984</v>
      </c>
      <c r="D36" s="1" t="s">
        <v>336</v>
      </c>
      <c r="E36" s="1">
        <v>4</v>
      </c>
      <c r="F36" s="1" t="s">
        <v>961</v>
      </c>
      <c r="G36" s="4" t="s">
        <v>378</v>
      </c>
    </row>
    <row r="37" spans="1:7" ht="42" customHeight="1">
      <c r="A37" s="1" t="s">
        <v>833</v>
      </c>
      <c r="B37" s="1" t="s">
        <v>12</v>
      </c>
      <c r="C37" s="1" t="s">
        <v>960</v>
      </c>
      <c r="D37" s="1" t="s">
        <v>832</v>
      </c>
      <c r="E37" s="1">
        <v>1</v>
      </c>
      <c r="F37" s="1" t="s">
        <v>961</v>
      </c>
      <c r="G37" s="4" t="s">
        <v>836</v>
      </c>
    </row>
    <row r="38" spans="1:7" ht="42" customHeight="1">
      <c r="A38" s="1" t="s">
        <v>824</v>
      </c>
      <c r="B38" s="1" t="s">
        <v>12</v>
      </c>
      <c r="C38" s="1" t="s">
        <v>960</v>
      </c>
      <c r="D38" s="1" t="s">
        <v>289</v>
      </c>
      <c r="E38" s="1">
        <v>1</v>
      </c>
      <c r="F38" s="1" t="s">
        <v>950</v>
      </c>
      <c r="G38" s="4" t="s">
        <v>826</v>
      </c>
    </row>
    <row r="39" spans="1:7" ht="42" customHeight="1">
      <c r="A39" s="1" t="s">
        <v>985</v>
      </c>
      <c r="B39" s="1" t="s">
        <v>12</v>
      </c>
      <c r="C39" s="1" t="s">
        <v>986</v>
      </c>
      <c r="D39" s="1" t="s">
        <v>955</v>
      </c>
      <c r="E39" s="1">
        <v>22</v>
      </c>
      <c r="F39" s="1" t="s">
        <v>950</v>
      </c>
      <c r="G39" s="4" t="s">
        <v>280</v>
      </c>
    </row>
    <row r="40" spans="1:7" ht="42" customHeight="1">
      <c r="A40" s="1" t="s">
        <v>273</v>
      </c>
      <c r="B40" s="1" t="s">
        <v>12</v>
      </c>
      <c r="C40" s="1" t="s">
        <v>8</v>
      </c>
      <c r="D40" s="1" t="s">
        <v>266</v>
      </c>
      <c r="E40" s="1">
        <v>1</v>
      </c>
      <c r="F40" s="1" t="s">
        <v>950</v>
      </c>
      <c r="G40" s="4" t="s">
        <v>391</v>
      </c>
    </row>
    <row r="41" spans="1:7" ht="42" customHeight="1">
      <c r="A41" s="1" t="s">
        <v>987</v>
      </c>
      <c r="B41" s="1" t="s">
        <v>56</v>
      </c>
      <c r="C41" s="1" t="s">
        <v>988</v>
      </c>
      <c r="D41" s="1" t="s">
        <v>970</v>
      </c>
      <c r="E41" s="1">
        <v>5</v>
      </c>
      <c r="F41" s="1" t="s">
        <v>950</v>
      </c>
      <c r="G41" s="4" t="s">
        <v>546</v>
      </c>
    </row>
    <row r="42" spans="1:7" ht="42" customHeight="1">
      <c r="A42" s="1" t="s">
        <v>557</v>
      </c>
      <c r="B42" s="1" t="s">
        <v>56</v>
      </c>
      <c r="C42" s="1" t="s">
        <v>5</v>
      </c>
      <c r="D42" s="1" t="s">
        <v>266</v>
      </c>
      <c r="E42" s="1">
        <v>1</v>
      </c>
      <c r="F42" s="1" t="s">
        <v>950</v>
      </c>
      <c r="G42" s="4" t="s">
        <v>558</v>
      </c>
    </row>
    <row r="43" spans="1:7" ht="42" customHeight="1">
      <c r="A43" s="1" t="s">
        <v>549</v>
      </c>
      <c r="B43" s="1" t="s">
        <v>56</v>
      </c>
      <c r="C43" s="1" t="s">
        <v>989</v>
      </c>
      <c r="D43" s="1" t="s">
        <v>970</v>
      </c>
      <c r="E43" s="1">
        <v>5</v>
      </c>
      <c r="F43" s="1" t="s">
        <v>950</v>
      </c>
      <c r="G43" s="4" t="s">
        <v>550</v>
      </c>
    </row>
    <row r="44" spans="1:7" ht="42" customHeight="1">
      <c r="A44" s="1" t="s">
        <v>563</v>
      </c>
      <c r="B44" s="1" t="s">
        <v>56</v>
      </c>
      <c r="C44" s="1" t="s">
        <v>6</v>
      </c>
      <c r="D44" s="1" t="s">
        <v>289</v>
      </c>
      <c r="E44" s="1">
        <v>1</v>
      </c>
      <c r="F44" s="1" t="s">
        <v>950</v>
      </c>
      <c r="G44" s="4" t="s">
        <v>564</v>
      </c>
    </row>
    <row r="45" spans="1:7" ht="42" customHeight="1">
      <c r="A45" s="1" t="s">
        <v>859</v>
      </c>
      <c r="B45" s="1" t="s">
        <v>45</v>
      </c>
      <c r="C45" s="1" t="s">
        <v>960</v>
      </c>
      <c r="D45" s="1" t="s">
        <v>832</v>
      </c>
      <c r="E45" s="1">
        <v>1</v>
      </c>
      <c r="F45" s="1" t="s">
        <v>961</v>
      </c>
      <c r="G45" s="4" t="s">
        <v>861</v>
      </c>
    </row>
    <row r="46" spans="1:7" ht="42" customHeight="1">
      <c r="A46" s="1" t="s">
        <v>990</v>
      </c>
      <c r="B46" s="1" t="s">
        <v>45</v>
      </c>
      <c r="C46" s="1" t="s">
        <v>991</v>
      </c>
      <c r="D46" s="1" t="s">
        <v>289</v>
      </c>
      <c r="E46" s="1">
        <v>4</v>
      </c>
      <c r="F46" s="1" t="s">
        <v>950</v>
      </c>
      <c r="G46" s="4" t="s">
        <v>519</v>
      </c>
    </row>
    <row r="47" spans="1:7" ht="42" customHeight="1">
      <c r="A47" s="1" t="s">
        <v>887</v>
      </c>
      <c r="B47" s="1" t="s">
        <v>45</v>
      </c>
      <c r="C47" s="1" t="s">
        <v>7</v>
      </c>
      <c r="D47" s="1" t="s">
        <v>276</v>
      </c>
      <c r="E47" s="1">
        <v>1</v>
      </c>
      <c r="F47" s="1" t="s">
        <v>950</v>
      </c>
      <c r="G47" s="4" t="s">
        <v>529</v>
      </c>
    </row>
    <row r="48" spans="1:7" ht="42" customHeight="1">
      <c r="A48" s="1" t="s">
        <v>992</v>
      </c>
      <c r="B48" s="1" t="s">
        <v>45</v>
      </c>
      <c r="C48" s="1" t="s">
        <v>993</v>
      </c>
      <c r="D48" s="1" t="s">
        <v>970</v>
      </c>
      <c r="E48" s="1">
        <v>6</v>
      </c>
      <c r="F48" s="1" t="s">
        <v>950</v>
      </c>
      <c r="G48" s="4" t="s">
        <v>511</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G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Tóm tắt profile</vt:lpstr>
      <vt:lpstr>Trọng tâm triển khai</vt:lpstr>
      <vt:lpstr>Mức độ xác minh dữ kiện</vt:lpstr>
      <vt:lpstr>Dimensions coverage</vt:lpstr>
      <vt:lpstr>Resort coverage</vt:lpstr>
      <vt:lpstr>Kết luận</vt:lpstr>
      <vt:lpstr>Dữ liệu thô</vt:lpstr>
      <vt:lpstr>Quản lý &amp; Tích hợp</vt:lpstr>
      <vt:lpstr>Nguồn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Thiên Ngân</cp:lastModifiedBy>
  <dcterms:created xsi:type="dcterms:W3CDTF">2026-10-02T15:34:09Z</dcterms:created>
  <dcterms:modified xsi:type="dcterms:W3CDTF">2026-10-08T15:16:16Z</dcterms:modified>
</cp:coreProperties>
</file>